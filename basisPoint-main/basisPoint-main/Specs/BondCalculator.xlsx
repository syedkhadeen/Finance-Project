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roi\Dropbox\InvestWare\BondCompare\src\Specs\"/>
    </mc:Choice>
  </mc:AlternateContent>
  <xr:revisionPtr revIDLastSave="0" documentId="13_ncr:1_{A1562497-945E-467B-806E-5C4CB9BC1806}" xr6:coauthVersionLast="47" xr6:coauthVersionMax="47" xr10:uidLastSave="{00000000-0000-0000-0000-000000000000}"/>
  <bookViews>
    <workbookView xWindow="-96" yWindow="-96" windowWidth="17472" windowHeight="10992" xr2:uid="{70C98DF4-563B-4E55-BF6A-6A15605CF9E3}"/>
  </bookViews>
  <sheets>
    <sheet name="Trade" sheetId="1" r:id="rId1"/>
    <sheet name="CalcOptions" sheetId="28" r:id="rId2"/>
    <sheet name="Security Search" sheetId="24" r:id="rId3"/>
    <sheet name="Yield Curve Search" sheetId="30" r:id="rId4"/>
    <sheet name="Floater" sheetId="25" r:id="rId5"/>
    <sheet name="Mortgage" sheetId="26" r:id="rId6"/>
    <sheet name="Indexed" sheetId="27" r:id="rId7"/>
    <sheet name="Calls" sheetId="19" r:id="rId8"/>
    <sheet name="Puts" sheetId="33" r:id="rId9"/>
    <sheet name="floatingReset" sheetId="29" r:id="rId10"/>
    <sheet name="Sinks" sheetId="23" r:id="rId11"/>
    <sheet name="Discount Curve" sheetId="7" r:id="rId12"/>
    <sheet name="Fixing Curve" sheetId="9" r:id="rId13"/>
    <sheet name="Cashflow" sheetId="6" r:id="rId14"/>
    <sheet name="Key Rate Duration" sheetId="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" i="1" l="1"/>
</calcChain>
</file>

<file path=xl/sharedStrings.xml><?xml version="1.0" encoding="utf-8"?>
<sst xmlns="http://schemas.openxmlformats.org/spreadsheetml/2006/main" count="517" uniqueCount="207">
  <si>
    <t>Issuer</t>
  </si>
  <si>
    <t>Air Corp</t>
  </si>
  <si>
    <t>Price</t>
  </si>
  <si>
    <t>Principal</t>
  </si>
  <si>
    <t>Net Payment</t>
  </si>
  <si>
    <t>Air Corporation 3.5% 2/15/2026</t>
  </si>
  <si>
    <t>Duration</t>
  </si>
  <si>
    <t>Convexity</t>
  </si>
  <si>
    <t>Yield to Maturity</t>
  </si>
  <si>
    <t>Yield to Worst</t>
  </si>
  <si>
    <t>Results</t>
  </si>
  <si>
    <t>Accrued</t>
  </si>
  <si>
    <t>Coupon*</t>
  </si>
  <si>
    <t>Maturity*</t>
  </si>
  <si>
    <t>Par*</t>
  </si>
  <si>
    <t>Settle Date*</t>
  </si>
  <si>
    <t>Calls</t>
  </si>
  <si>
    <t>Yield Curve</t>
  </si>
  <si>
    <t>Call Date</t>
  </si>
  <si>
    <t>Call Price</t>
  </si>
  <si>
    <t>Mortgage</t>
  </si>
  <si>
    <t>Last Factor Date</t>
  </si>
  <si>
    <t>Delay Days</t>
  </si>
  <si>
    <t>Pre-Pay Model</t>
  </si>
  <si>
    <t>Index Adjusted</t>
  </si>
  <si>
    <t>Pre-Pay Speed(%)4</t>
  </si>
  <si>
    <t>Inflation Rate(%)</t>
  </si>
  <si>
    <t>Yes</t>
  </si>
  <si>
    <t>Maturity Adjusted?</t>
  </si>
  <si>
    <t>Date</t>
  </si>
  <si>
    <t>US Treas Curve</t>
  </si>
  <si>
    <t>Key Rate Term</t>
  </si>
  <si>
    <t>Key Rate</t>
  </si>
  <si>
    <t>1yr</t>
  </si>
  <si>
    <t>2yr</t>
  </si>
  <si>
    <t>3yr</t>
  </si>
  <si>
    <t>5yr</t>
  </si>
  <si>
    <t>7yr</t>
  </si>
  <si>
    <t>10yr</t>
  </si>
  <si>
    <t>15yr</t>
  </si>
  <si>
    <t>20yr</t>
  </si>
  <si>
    <t>25yr</t>
  </si>
  <si>
    <t>30yr</t>
  </si>
  <si>
    <t>40yr</t>
  </si>
  <si>
    <t>50yr</t>
  </si>
  <si>
    <t>Curve Name</t>
  </si>
  <si>
    <t>Curve Date</t>
  </si>
  <si>
    <t>Rate(%)</t>
  </si>
  <si>
    <t>Security Type*</t>
  </si>
  <si>
    <t>Fixing Curve - Floating Rates</t>
  </si>
  <si>
    <t>Swap Curve</t>
  </si>
  <si>
    <t>Security Id</t>
  </si>
  <si>
    <t>US233897AE</t>
  </si>
  <si>
    <t>Account</t>
  </si>
  <si>
    <t xml:space="preserve">Curve Name </t>
  </si>
  <si>
    <t xml:space="preserve">Rate(%) </t>
  </si>
  <si>
    <t>USCORP-SEMI</t>
  </si>
  <si>
    <t>KeyRate Duration</t>
  </si>
  <si>
    <t>1m</t>
  </si>
  <si>
    <t>3m</t>
  </si>
  <si>
    <t>6m</t>
  </si>
  <si>
    <t>CPR</t>
  </si>
  <si>
    <t>…</t>
  </si>
  <si>
    <t>3/20/207</t>
  </si>
  <si>
    <t>Rate Reset Frequency</t>
  </si>
  <si>
    <t>3M</t>
  </si>
  <si>
    <t>Use Fixing Curve?</t>
  </si>
  <si>
    <t>100m</t>
  </si>
  <si>
    <t xml:space="preserve">Maturity(mo) </t>
  </si>
  <si>
    <t>Sink Date</t>
  </si>
  <si>
    <t>Sinking Funds</t>
  </si>
  <si>
    <t>Sink Amount</t>
  </si>
  <si>
    <t>Sink Price</t>
  </si>
  <si>
    <t>Sink Factor(%)</t>
  </si>
  <si>
    <t>State Tax Rate</t>
  </si>
  <si>
    <t>Y</t>
  </si>
  <si>
    <t>Accrued Days</t>
  </si>
  <si>
    <t>After Tax Calcs?</t>
  </si>
  <si>
    <t>Maturity(mos)</t>
  </si>
  <si>
    <t>Taxes</t>
  </si>
  <si>
    <t>Show Cashflow?</t>
  </si>
  <si>
    <t>Show Key Rates?</t>
  </si>
  <si>
    <t>Par Curve?</t>
  </si>
  <si>
    <t xml:space="preserve">Par Curve? </t>
  </si>
  <si>
    <t>State of Issue</t>
  </si>
  <si>
    <t>State Of Residence</t>
  </si>
  <si>
    <t>OH</t>
  </si>
  <si>
    <t>MA</t>
  </si>
  <si>
    <t>Federal Tax Rate</t>
  </si>
  <si>
    <t>Maturity</t>
  </si>
  <si>
    <t>ISIN</t>
  </si>
  <si>
    <t>CUSIP</t>
  </si>
  <si>
    <t>US123475US2</t>
  </si>
  <si>
    <t>Air Products</t>
  </si>
  <si>
    <t>Ticker</t>
  </si>
  <si>
    <t>AIPR</t>
  </si>
  <si>
    <t>Select based on</t>
  </si>
  <si>
    <t>Maturity (yrs)</t>
  </si>
  <si>
    <t>AAA</t>
  </si>
  <si>
    <t>Description</t>
  </si>
  <si>
    <t xml:space="preserve">Air Products </t>
  </si>
  <si>
    <t>0/15/2026</t>
  </si>
  <si>
    <t>US123475US3Z3</t>
  </si>
  <si>
    <t>S&amp;P</t>
  </si>
  <si>
    <t>Security</t>
  </si>
  <si>
    <t>Credit Rating</t>
  </si>
  <si>
    <t>User picks one of the above</t>
  </si>
  <si>
    <t>Sinks?</t>
  </si>
  <si>
    <t>Calls?</t>
  </si>
  <si>
    <t>Credit Agency</t>
  </si>
  <si>
    <t>Wtd Avg Maturity(months)</t>
  </si>
  <si>
    <t>Index Ratio</t>
  </si>
  <si>
    <t>System</t>
  </si>
  <si>
    <t>User</t>
  </si>
  <si>
    <t>&lt;---- This is the search query screen</t>
  </si>
  <si>
    <t>&lt;---- This is the search results screen</t>
  </si>
  <si>
    <t>Dsiplays the result screen with calculated results</t>
  </si>
  <si>
    <t>Below  are tabs for pages that appear depending on choices made in the security screen</t>
  </si>
  <si>
    <t>Drop Down List</t>
  </si>
  <si>
    <t>number</t>
  </si>
  <si>
    <t>Yes or No</t>
  </si>
  <si>
    <t>text</t>
  </si>
  <si>
    <t>date</t>
  </si>
  <si>
    <t xml:space="preserve">Last Factor </t>
  </si>
  <si>
    <t>Weighted Avg Age</t>
  </si>
  <si>
    <t>Defaulted text</t>
  </si>
  <si>
    <t>fraction &lt; 1</t>
  </si>
  <si>
    <t>Dates</t>
  </si>
  <si>
    <t>integer</t>
  </si>
  <si>
    <t>Defaulted</t>
  </si>
  <si>
    <t>numner</t>
  </si>
  <si>
    <t>defaulted</t>
  </si>
  <si>
    <t>percent</t>
  </si>
  <si>
    <t>yes or no</t>
  </si>
  <si>
    <t>DayOfWk</t>
  </si>
  <si>
    <t>Periods</t>
  </si>
  <si>
    <t>Years</t>
  </si>
  <si>
    <t>Total Cash</t>
  </si>
  <si>
    <t>Total Prin</t>
  </si>
  <si>
    <t>Sched Prin</t>
  </si>
  <si>
    <t>Interest</t>
  </si>
  <si>
    <t>Fed taxes</t>
  </si>
  <si>
    <t>State tax</t>
  </si>
  <si>
    <t>Sun</t>
  </si>
  <si>
    <t>Mon</t>
  </si>
  <si>
    <t>Tue</t>
  </si>
  <si>
    <t>Wed</t>
  </si>
  <si>
    <t>Thu</t>
  </si>
  <si>
    <t>AA+</t>
  </si>
  <si>
    <t>5.13.2024</t>
  </si>
  <si>
    <t>Submit</t>
  </si>
  <si>
    <t xml:space="preserve">Submit </t>
  </si>
  <si>
    <t>Identfier</t>
  </si>
  <si>
    <t>User enters a security id presses the search button and the security screen is populated</t>
  </si>
  <si>
    <t>User enters a issuer name and the security select screen appears letting the user select a security from a database populated list</t>
  </si>
  <si>
    <t>Highlights one of the rows in the security results screen  picks a security to populate the security screen</t>
  </si>
  <si>
    <t>Presses the Calculate button and the system populaes the calculation result screen</t>
  </si>
  <si>
    <t>First Coupon</t>
  </si>
  <si>
    <t>Puts?</t>
  </si>
  <si>
    <t>Puts</t>
  </si>
  <si>
    <t>Put Date</t>
  </si>
  <si>
    <t>Put Price</t>
  </si>
  <si>
    <t>Spot Curve?</t>
  </si>
  <si>
    <t>Tenor(mo)</t>
  </si>
  <si>
    <t>`</t>
  </si>
  <si>
    <t>StdDev(%)</t>
  </si>
  <si>
    <t xml:space="preserve">Tenor(mo) </t>
  </si>
  <si>
    <t>Call Type</t>
  </si>
  <si>
    <t>Drop Down</t>
  </si>
  <si>
    <t>European</t>
  </si>
  <si>
    <t>Put Type</t>
  </si>
  <si>
    <t>Reset Rates</t>
  </si>
  <si>
    <t>Reset Date</t>
  </si>
  <si>
    <t>Base Rate</t>
  </si>
  <si>
    <t>Multiplier</t>
  </si>
  <si>
    <t>Spread</t>
  </si>
  <si>
    <t>Coupon</t>
  </si>
  <si>
    <t>Total</t>
  </si>
  <si>
    <t xml:space="preserve"> </t>
  </si>
  <si>
    <t>UpSide Rate</t>
  </si>
  <si>
    <t>Down Side Rate</t>
  </si>
  <si>
    <t>Forecast Period(mo)</t>
  </si>
  <si>
    <t>6mo</t>
  </si>
  <si>
    <t>Advanced Analytics  - Using Yield Curves</t>
  </si>
  <si>
    <t>High Yield</t>
  </si>
  <si>
    <t>Advanced Analytics?</t>
  </si>
  <si>
    <t>Next Payment</t>
  </si>
  <si>
    <t>Show Advanced Analytics?</t>
  </si>
  <si>
    <t>Price*</t>
  </si>
  <si>
    <t>Yield*</t>
  </si>
  <si>
    <t>Last Payment</t>
  </si>
  <si>
    <t>Retrieve data from JSONCalcs  table</t>
  </si>
  <si>
    <t>Fair Value</t>
  </si>
  <si>
    <t>Z-Spread</t>
  </si>
  <si>
    <t>Future Return</t>
  </si>
  <si>
    <t>Future Return UpSide</t>
  </si>
  <si>
    <t>Future Return DnSide</t>
  </si>
  <si>
    <t>Future Date</t>
  </si>
  <si>
    <t>Advanced Analytics Input</t>
  </si>
  <si>
    <t xml:space="preserve">Future Date </t>
  </si>
  <si>
    <t>CreditRating</t>
  </si>
  <si>
    <t>Default Spot Curve?</t>
  </si>
  <si>
    <t>AA</t>
  </si>
  <si>
    <t>Show Analytics?</t>
  </si>
  <si>
    <t>Advanced Analytics Results</t>
  </si>
  <si>
    <t>Future Value</t>
  </si>
  <si>
    <t>CurrentValue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</si>
</sst>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000000"/>
      <name val="JetBrains Mono"/>
      <family val="3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Display"/>
      <family val="2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0" fillId="0" borderId="0" xfId="0" applyNumberFormat="1"/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3" fillId="0" borderId="0" xfId="0" applyFont="1"/>
    <xf numFmtId="0" fontId="15" fillId="0" borderId="0" xfId="0" applyFont="1"/>
    <xf numFmtId="0" fontId="17" fillId="0" borderId="0" xfId="0" applyFont="1"/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2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17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4" fillId="3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0" borderId="6" xfId="0" applyFont="1" applyBorder="1" applyAlignment="1">
      <alignment horizontal="center"/>
    </xf>
    <xf numFmtId="14" fontId="1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0" fontId="15" fillId="0" borderId="1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0" borderId="1" xfId="0" applyFont="1" applyBorder="1"/>
    <xf numFmtId="0" fontId="15" fillId="0" borderId="1" xfId="0" applyFont="1" applyBorder="1"/>
    <xf numFmtId="14" fontId="16" fillId="0" borderId="1" xfId="0" applyNumberFormat="1" applyFont="1" applyBorder="1"/>
    <xf numFmtId="1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4" fontId="17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5" fillId="0" borderId="0" xfId="0" applyNumberFormat="1" applyFont="1" applyAlignment="1">
      <alignment horizontal="center"/>
    </xf>
    <xf numFmtId="0" fontId="17" fillId="0" borderId="2" xfId="0" applyFont="1" applyBorder="1" applyAlignment="1">
      <alignment horizontal="center"/>
    </xf>
    <xf numFmtId="13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1" fillId="0" borderId="7" xfId="0" applyFont="1" applyBorder="1"/>
    <xf numFmtId="0" fontId="2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14" fontId="22" fillId="0" borderId="0" xfId="0" applyNumberFormat="1" applyFont="1" applyAlignment="1">
      <alignment horizontal="center"/>
    </xf>
    <xf numFmtId="0" fontId="27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14" fontId="2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86E0"/>
      <color rgb="FF00A249"/>
      <color rgb="FF9EB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89370078740159"/>
          <c:y val="0.13937481773111693"/>
          <c:w val="0.83488407699037626"/>
          <c:h val="0.67457604257801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Rate Duration'!$B$4</c:f>
              <c:strCache>
                <c:ptCount val="1"/>
                <c:pt idx="0">
                  <c:v>Key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Rate Duration'!$A$5:$A$19</c:f>
              <c:strCache>
                <c:ptCount val="15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1yr</c:v>
                </c:pt>
                <c:pt idx="4">
                  <c:v>2yr</c:v>
                </c:pt>
                <c:pt idx="5">
                  <c:v>3yr</c:v>
                </c:pt>
                <c:pt idx="6">
                  <c:v>5yr</c:v>
                </c:pt>
                <c:pt idx="7">
                  <c:v>7yr</c:v>
                </c:pt>
                <c:pt idx="8">
                  <c:v>10yr</c:v>
                </c:pt>
                <c:pt idx="9">
                  <c:v>15yr</c:v>
                </c:pt>
                <c:pt idx="10">
                  <c:v>20yr</c:v>
                </c:pt>
                <c:pt idx="11">
                  <c:v>25yr</c:v>
                </c:pt>
                <c:pt idx="12">
                  <c:v>30yr</c:v>
                </c:pt>
                <c:pt idx="13">
                  <c:v>40yr</c:v>
                </c:pt>
                <c:pt idx="14">
                  <c:v>50yr</c:v>
                </c:pt>
              </c:strCache>
            </c:strRef>
          </c:cat>
          <c:val>
            <c:numRef>
              <c:f>'Key Rate Duration'!$B$5:$B$19</c:f>
              <c:numCache>
                <c:formatCode>General</c:formatCode>
                <c:ptCount val="15"/>
                <c:pt idx="0">
                  <c:v>0.05</c:v>
                </c:pt>
                <c:pt idx="1">
                  <c:v>0.23</c:v>
                </c:pt>
                <c:pt idx="2">
                  <c:v>0.4</c:v>
                </c:pt>
                <c:pt idx="3">
                  <c:v>1.4</c:v>
                </c:pt>
                <c:pt idx="4">
                  <c:v>1.2</c:v>
                </c:pt>
                <c:pt idx="5">
                  <c:v>1.8</c:v>
                </c:pt>
                <c:pt idx="6">
                  <c:v>0.9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4895-910F-3B6BF3BCA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595295"/>
        <c:axId val="1293598655"/>
      </c:barChart>
      <c:catAx>
        <c:axId val="129359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002060"/>
                    </a:solidFill>
                  </a:rPr>
                  <a:t>Tenor</a:t>
                </a:r>
              </a:p>
            </c:rich>
          </c:tx>
          <c:layout>
            <c:manualLayout>
              <c:xMode val="edge"/>
              <c:yMode val="edge"/>
              <c:x val="0.43189866435913016"/>
              <c:y val="0.91422322611423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98655"/>
        <c:crosses val="autoZero"/>
        <c:auto val="1"/>
        <c:lblAlgn val="ctr"/>
        <c:lblOffset val="100"/>
        <c:noMultiLvlLbl val="0"/>
      </c:catAx>
      <c:valAx>
        <c:axId val="12935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>
                    <a:solidFill>
                      <a:srgbClr val="002060"/>
                    </a:solidFill>
                  </a:rPr>
                  <a:t>Key Rate Duration</a:t>
                </a:r>
              </a:p>
            </c:rich>
          </c:tx>
          <c:layout>
            <c:manualLayout>
              <c:xMode val="edge"/>
              <c:yMode val="edge"/>
              <c:x val="5.6534864057917404E-2"/>
              <c:y val="0.28461850299394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95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245268</xdr:colOff>
      <xdr:row>2</xdr:row>
      <xdr:rowOff>33336</xdr:rowOff>
    </xdr:from>
    <xdr:to>
      <xdr:col>13</xdr:col>
      <xdr:colOff>471488</xdr:colOff>
      <xdr:row>21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E51A3-EF31-FA3C-11DD-BF83840D2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B2A2-995A-40B4-A1CF-0F42FDED0F50}">
  <dimension ref="A1:I33"/>
  <sheetViews>
    <sheetView tabSelected="1" topLeftCell="A11" workbookViewId="0">
      <selection activeCell="D31" sqref="D31"/>
    </sheetView>
  </sheetViews>
  <sheetFormatPr defaultColWidth="9.1015625" defaultRowHeight="12.9"/>
  <cols>
    <col min="1" max="1" width="24.68359375" style="24" customWidth="1"/>
    <col min="2" max="2" width="30.578125" style="24" customWidth="1"/>
    <col min="3" max="3" width="20.3125" style="24" customWidth="1"/>
    <col min="4" max="4" width="18.89453125" style="24" customWidth="1"/>
    <col min="5" max="5" width="8.1015625" style="47" customWidth="1"/>
    <col min="6" max="6" width="54.3125" style="47" customWidth="1"/>
    <col min="7" max="16384" width="9.1015625" style="24"/>
  </cols>
  <sheetData>
    <row r="1" spans="1:9" s="51" customFormat="1" ht="18.3">
      <c r="A1" s="54" t="s">
        <v>104</v>
      </c>
      <c r="B1" s="55"/>
      <c r="C1" s="55"/>
      <c r="D1" s="55"/>
      <c r="F1" s="52"/>
      <c r="G1" s="52"/>
      <c r="H1" s="52"/>
    </row>
    <row r="2" spans="1:9" s="1" customFormat="1" ht="14.4">
      <c r="A2" s="76" t="s">
        <v>104</v>
      </c>
      <c r="B2" s="77" t="s">
        <v>48</v>
      </c>
      <c r="C2" s="78" t="s">
        <v>51</v>
      </c>
      <c r="D2" s="78" t="s">
        <v>0</v>
      </c>
    </row>
    <row r="3" spans="1:9" customFormat="1" ht="14.4">
      <c r="A3" s="9" t="s">
        <v>5</v>
      </c>
      <c r="B3" s="29" t="s">
        <v>56</v>
      </c>
      <c r="C3" s="79" t="s">
        <v>52</v>
      </c>
      <c r="D3" s="80" t="s">
        <v>1</v>
      </c>
      <c r="E3" s="33"/>
    </row>
    <row r="4" spans="1:9" customFormat="1" ht="14.4">
      <c r="A4" s="81" t="s">
        <v>53</v>
      </c>
      <c r="B4" s="77" t="s">
        <v>12</v>
      </c>
      <c r="C4" s="77" t="s">
        <v>13</v>
      </c>
      <c r="D4" s="81" t="s">
        <v>157</v>
      </c>
      <c r="E4" s="33" t="s">
        <v>113</v>
      </c>
      <c r="F4" s="33" t="s">
        <v>153</v>
      </c>
    </row>
    <row r="5" spans="1:9" customFormat="1" ht="15" customHeight="1">
      <c r="A5" s="82" t="s">
        <v>184</v>
      </c>
      <c r="B5" s="83">
        <v>3.5000000000000003E-2</v>
      </c>
      <c r="C5" s="84">
        <v>46068</v>
      </c>
      <c r="D5" s="85">
        <v>43997</v>
      </c>
      <c r="E5" s="33" t="s">
        <v>113</v>
      </c>
      <c r="F5" s="33" t="s">
        <v>154</v>
      </c>
    </row>
    <row r="6" spans="1:9" customFormat="1" ht="13.95" customHeight="1">
      <c r="A6" s="77" t="s">
        <v>14</v>
      </c>
      <c r="B6" s="86" t="s">
        <v>15</v>
      </c>
      <c r="C6" s="86" t="s">
        <v>188</v>
      </c>
      <c r="D6" s="77" t="s">
        <v>189</v>
      </c>
      <c r="E6" s="33" t="s">
        <v>113</v>
      </c>
      <c r="F6" s="33" t="s">
        <v>155</v>
      </c>
    </row>
    <row r="7" spans="1:9" customFormat="1" ht="14.4" customHeight="1">
      <c r="A7" s="29" t="s">
        <v>67</v>
      </c>
      <c r="B7" s="84">
        <v>44440</v>
      </c>
      <c r="C7" s="87">
        <v>100.09375</v>
      </c>
      <c r="D7" s="40">
        <v>3.1456</v>
      </c>
      <c r="E7" s="33" t="s">
        <v>113</v>
      </c>
      <c r="F7" s="33" t="s">
        <v>156</v>
      </c>
    </row>
    <row r="8" spans="1:9" customFormat="1" ht="14.4" customHeight="1">
      <c r="A8" s="77" t="s">
        <v>77</v>
      </c>
      <c r="B8" s="77" t="s">
        <v>185</v>
      </c>
      <c r="C8" s="10"/>
      <c r="D8" s="77"/>
      <c r="E8" s="33" t="s">
        <v>112</v>
      </c>
      <c r="F8" s="33" t="s">
        <v>116</v>
      </c>
    </row>
    <row r="9" spans="1:9" customFormat="1" ht="11.25" customHeight="1">
      <c r="A9" s="88" t="s">
        <v>75</v>
      </c>
      <c r="B9" s="88" t="s">
        <v>75</v>
      </c>
      <c r="C9" s="88"/>
      <c r="D9" s="88"/>
      <c r="E9" s="33" t="s">
        <v>113</v>
      </c>
      <c r="F9" s="49"/>
      <c r="G9" s="3"/>
    </row>
    <row r="10" spans="1:9" customFormat="1" ht="12.75" customHeight="1">
      <c r="A10" s="77" t="s">
        <v>108</v>
      </c>
      <c r="B10" s="77" t="s">
        <v>158</v>
      </c>
      <c r="C10" s="77" t="s">
        <v>107</v>
      </c>
      <c r="D10" s="77"/>
      <c r="E10" s="3"/>
      <c r="F10" s="33"/>
      <c r="G10" s="1"/>
      <c r="H10" s="3"/>
      <c r="I10" s="3"/>
    </row>
    <row r="11" spans="1:9" s="3" customFormat="1" ht="12.75" customHeight="1">
      <c r="A11" s="88" t="s">
        <v>75</v>
      </c>
      <c r="B11" s="88" t="s">
        <v>75</v>
      </c>
      <c r="C11" s="88" t="s">
        <v>75</v>
      </c>
      <c r="D11" s="88" t="s">
        <v>75</v>
      </c>
      <c r="E11" s="33"/>
      <c r="F11" s="33"/>
      <c r="G11"/>
      <c r="H11" s="1"/>
      <c r="I11" s="1"/>
    </row>
    <row r="12" spans="1:9" s="22" customFormat="1" ht="12.75" customHeight="1">
      <c r="A12" s="31"/>
      <c r="B12" s="31"/>
      <c r="C12" s="31"/>
      <c r="D12" s="31"/>
      <c r="E12" s="47"/>
      <c r="F12" s="47"/>
      <c r="G12" s="24"/>
      <c r="H12" s="24"/>
      <c r="I12" s="24"/>
    </row>
    <row r="13" spans="1:9" ht="15.3" customHeight="1">
      <c r="A13" s="42"/>
      <c r="B13" s="94" t="s">
        <v>10</v>
      </c>
      <c r="C13" s="94"/>
      <c r="D13" s="43"/>
      <c r="E13" s="23"/>
      <c r="F13" s="23"/>
      <c r="G13" s="26"/>
    </row>
    <row r="14" spans="1:9" ht="15.3" customHeight="1">
      <c r="A14" s="28" t="s">
        <v>3</v>
      </c>
      <c r="B14" s="28" t="s">
        <v>76</v>
      </c>
      <c r="C14" s="28" t="s">
        <v>6</v>
      </c>
      <c r="D14" s="38" t="s">
        <v>7</v>
      </c>
      <c r="E14" s="49" t="s">
        <v>117</v>
      </c>
      <c r="F14" s="49"/>
      <c r="H14" s="26"/>
      <c r="I14" s="26"/>
    </row>
    <row r="15" spans="1:9" s="26" customFormat="1" ht="16.95" customHeight="1">
      <c r="A15" s="32">
        <v>100093.75</v>
      </c>
      <c r="B15" s="29">
        <v>48</v>
      </c>
      <c r="C15" s="29">
        <v>3.4590000000000001</v>
      </c>
      <c r="D15" s="40">
        <v>102.6765</v>
      </c>
      <c r="E15" s="23"/>
      <c r="F15" s="23"/>
      <c r="G15" s="24"/>
      <c r="H15" s="24"/>
      <c r="I15" s="24"/>
    </row>
    <row r="16" spans="1:9" ht="13.2" customHeight="1">
      <c r="A16" s="28" t="s">
        <v>11</v>
      </c>
      <c r="B16" s="28" t="s">
        <v>2</v>
      </c>
      <c r="C16" s="28" t="s">
        <v>8</v>
      </c>
      <c r="D16" s="38" t="s">
        <v>9</v>
      </c>
      <c r="E16" s="23"/>
      <c r="F16" s="23"/>
    </row>
    <row r="17" spans="1:9" ht="13.5" customHeight="1">
      <c r="A17" s="34">
        <v>1167.5</v>
      </c>
      <c r="B17" s="29">
        <v>98.125</v>
      </c>
      <c r="C17" s="29">
        <v>3.1560999999999999</v>
      </c>
      <c r="D17" s="40">
        <v>2.9883999999999999</v>
      </c>
      <c r="E17" s="23"/>
      <c r="F17" s="23"/>
      <c r="G17" s="23"/>
    </row>
    <row r="18" spans="1:9" ht="15.75" customHeight="1">
      <c r="A18" s="28" t="s">
        <v>4</v>
      </c>
      <c r="B18" s="28" t="s">
        <v>97</v>
      </c>
      <c r="C18" s="28" t="s">
        <v>190</v>
      </c>
      <c r="D18" s="38" t="s">
        <v>186</v>
      </c>
      <c r="E18" s="23"/>
      <c r="F18" s="23"/>
      <c r="G18" s="33"/>
      <c r="H18" s="23"/>
      <c r="I18" s="23"/>
    </row>
    <row r="19" spans="1:9" s="23" customFormat="1" ht="14.4">
      <c r="A19" s="35">
        <f>A15+A17</f>
        <v>101261.25</v>
      </c>
      <c r="B19" s="29">
        <v>4.93</v>
      </c>
      <c r="C19" s="84">
        <v>45306</v>
      </c>
      <c r="D19" s="74">
        <v>45488</v>
      </c>
      <c r="H19" s="33"/>
      <c r="I19" s="33"/>
    </row>
    <row r="20" spans="1:9" s="23" customFormat="1" ht="14.4">
      <c r="A20" s="37"/>
      <c r="B20" s="39"/>
      <c r="C20" s="46"/>
      <c r="D20" s="40"/>
      <c r="H20" s="33"/>
      <c r="I20" s="33"/>
    </row>
    <row r="21" spans="1:9" s="33" customFormat="1" ht="14.4">
      <c r="A21" s="36"/>
      <c r="B21" s="41" t="s">
        <v>187</v>
      </c>
      <c r="C21" s="45"/>
      <c r="D21" s="38"/>
      <c r="E21" s="47"/>
      <c r="F21" s="47"/>
      <c r="G21" s="23"/>
      <c r="H21" s="23"/>
      <c r="I21" s="23"/>
    </row>
    <row r="22" spans="1:9" s="10" customFormat="1" ht="14.4">
      <c r="A22" s="10" t="s">
        <v>203</v>
      </c>
      <c r="B22" s="75" t="s">
        <v>80</v>
      </c>
      <c r="C22" s="92" t="s">
        <v>81</v>
      </c>
      <c r="D22" s="93"/>
    </row>
    <row r="23" spans="1:9" s="21" customFormat="1" ht="15.6">
      <c r="A23" s="21" t="s">
        <v>75</v>
      </c>
      <c r="B23" s="56" t="s">
        <v>75</v>
      </c>
      <c r="C23" s="90" t="s">
        <v>75</v>
      </c>
      <c r="D23" s="91"/>
      <c r="F23" s="13"/>
    </row>
    <row r="24" spans="1:9" s="89" customFormat="1" ht="15.6">
      <c r="A24" s="107"/>
      <c r="B24" s="107" t="s">
        <v>198</v>
      </c>
      <c r="C24" s="107"/>
      <c r="D24" s="108"/>
      <c r="F24" s="6"/>
    </row>
    <row r="25" spans="1:9" s="23" customFormat="1" ht="15.6">
      <c r="A25" s="78" t="s">
        <v>199</v>
      </c>
      <c r="B25" s="78" t="s">
        <v>201</v>
      </c>
      <c r="C25" s="78" t="s">
        <v>109</v>
      </c>
      <c r="D25" s="78" t="s">
        <v>200</v>
      </c>
      <c r="E25" s="26"/>
      <c r="F25" s="48"/>
      <c r="G25" s="26"/>
    </row>
    <row r="26" spans="1:9" s="10" customFormat="1" ht="14.4">
      <c r="A26" s="109">
        <v>44805</v>
      </c>
      <c r="B26" s="79" t="s">
        <v>75</v>
      </c>
      <c r="C26" s="79" t="s">
        <v>103</v>
      </c>
      <c r="D26" s="78" t="s">
        <v>202</v>
      </c>
      <c r="E26" s="1"/>
    </row>
    <row r="27" spans="1:9" s="23" customFormat="1">
      <c r="A27" s="25"/>
      <c r="B27" s="25"/>
      <c r="C27" s="25"/>
      <c r="D27" s="25"/>
      <c r="E27" s="47"/>
      <c r="F27" s="47"/>
      <c r="G27" s="24"/>
      <c r="H27" s="26"/>
      <c r="I27" s="26"/>
    </row>
    <row r="28" spans="1:9" ht="15.6">
      <c r="A28" s="110"/>
      <c r="B28" s="111" t="s">
        <v>204</v>
      </c>
      <c r="C28" s="112"/>
      <c r="D28" s="113"/>
    </row>
    <row r="29" spans="1:9" ht="15.6">
      <c r="A29" s="114"/>
      <c r="B29" s="114"/>
      <c r="C29" s="114"/>
      <c r="D29" s="114"/>
      <c r="G29" s="7"/>
    </row>
    <row r="30" spans="1:9" s="7" customFormat="1" ht="15.6">
      <c r="A30" s="115" t="s">
        <v>192</v>
      </c>
      <c r="B30" s="115" t="s">
        <v>193</v>
      </c>
      <c r="C30" s="115" t="s">
        <v>205</v>
      </c>
      <c r="D30" s="115" t="s">
        <v>206</v>
      </c>
      <c r="E30" s="47"/>
      <c r="F30" s="47"/>
      <c r="G30" s="24"/>
    </row>
    <row r="31" spans="1:9" customFormat="1" ht="14.4">
      <c r="A31" s="116">
        <v>101.325</v>
      </c>
      <c r="B31" s="116">
        <v>1.62</v>
      </c>
      <c r="C31" s="117">
        <v>1239000.1499999999</v>
      </c>
      <c r="D31" s="117">
        <v>1324000</v>
      </c>
      <c r="F31" s="33"/>
      <c r="G31" s="33"/>
    </row>
    <row r="32" spans="1:9" customFormat="1" ht="14.4">
      <c r="A32" s="115" t="s">
        <v>197</v>
      </c>
      <c r="B32" s="115" t="s">
        <v>194</v>
      </c>
      <c r="C32" s="115" t="s">
        <v>195</v>
      </c>
      <c r="D32" s="115" t="s">
        <v>196</v>
      </c>
      <c r="E32" s="33"/>
      <c r="F32" s="33"/>
    </row>
    <row r="33" spans="1:4" ht="14.4">
      <c r="A33" s="118">
        <v>44805</v>
      </c>
      <c r="B33" s="116">
        <v>4.58</v>
      </c>
      <c r="C33" s="116">
        <v>4.1100000000000003</v>
      </c>
      <c r="D33" s="116">
        <v>5.32</v>
      </c>
    </row>
  </sheetData>
  <mergeCells count="4">
    <mergeCell ref="C28:D28"/>
    <mergeCell ref="C22:D22"/>
    <mergeCell ref="B13:C13"/>
    <mergeCell ref="C23:D23"/>
  </mergeCells>
  <dataValidations count="1">
    <dataValidation type="list" allowBlank="1" showInputMessage="1" showErrorMessage="1" errorTitle="Invalid Security Types" promptTitle="Security type" sqref="B3" xr:uid="{393AF42B-5B36-4EEE-B682-397522653CD2}">
      <formula1>#REF!</formula1>
    </dataValidation>
  </dataValidation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66B-AE66-4CE9-8AA7-9342D47F7E70}">
  <dimension ref="A1:F11"/>
  <sheetViews>
    <sheetView workbookViewId="0">
      <selection activeCell="C4" sqref="C4"/>
    </sheetView>
  </sheetViews>
  <sheetFormatPr defaultRowHeight="14.4"/>
  <cols>
    <col min="1" max="1" width="16.47265625" customWidth="1"/>
    <col min="2" max="2" width="20.3671875" customWidth="1"/>
    <col min="3" max="3" width="17.20703125" customWidth="1"/>
    <col min="4" max="4" width="18.5234375" customWidth="1"/>
  </cols>
  <sheetData>
    <row r="1" spans="1:6">
      <c r="A1" s="27" t="s">
        <v>104</v>
      </c>
      <c r="B1" s="2" t="s">
        <v>5</v>
      </c>
      <c r="C1" s="2"/>
      <c r="D1" s="2"/>
    </row>
    <row r="2" spans="1:6">
      <c r="A2" s="88"/>
      <c r="B2" s="77" t="s">
        <v>79</v>
      </c>
      <c r="C2" s="88"/>
      <c r="D2" s="88"/>
      <c r="E2" s="1"/>
      <c r="F2" s="1"/>
    </row>
    <row r="3" spans="1:6">
      <c r="A3" s="27" t="s">
        <v>88</v>
      </c>
      <c r="B3" s="77" t="s">
        <v>74</v>
      </c>
      <c r="C3" s="77" t="s">
        <v>84</v>
      </c>
      <c r="D3" s="77" t="s">
        <v>85</v>
      </c>
    </row>
    <row r="4" spans="1:6">
      <c r="A4" s="2">
        <v>30</v>
      </c>
      <c r="B4" s="2">
        <v>5.5</v>
      </c>
      <c r="C4" s="88" t="s">
        <v>87</v>
      </c>
      <c r="D4" s="88" t="s">
        <v>86</v>
      </c>
    </row>
    <row r="5" spans="1:6">
      <c r="A5" s="2"/>
      <c r="B5" s="2"/>
      <c r="C5" s="2"/>
      <c r="D5" s="2"/>
    </row>
    <row r="6" spans="1:6">
      <c r="A6" s="95" t="s">
        <v>183</v>
      </c>
      <c r="B6" s="95"/>
      <c r="C6" s="96"/>
      <c r="D6" s="2"/>
    </row>
    <row r="7" spans="1:6">
      <c r="A7" s="77" t="s">
        <v>109</v>
      </c>
      <c r="B7" s="77" t="s">
        <v>105</v>
      </c>
      <c r="C7" s="27" t="s">
        <v>181</v>
      </c>
      <c r="D7" s="2"/>
    </row>
    <row r="8" spans="1:6">
      <c r="A8" s="88" t="s">
        <v>103</v>
      </c>
      <c r="B8" s="88" t="s">
        <v>98</v>
      </c>
      <c r="C8" s="2" t="s">
        <v>182</v>
      </c>
      <c r="D8" s="2"/>
    </row>
    <row r="9" spans="1:6">
      <c r="A9" s="88"/>
      <c r="B9" s="77"/>
      <c r="C9" s="88"/>
      <c r="D9" s="88"/>
    </row>
    <row r="10" spans="1:6">
      <c r="A10" s="3"/>
      <c r="B10" s="10"/>
      <c r="C10" s="10"/>
      <c r="D10" s="10"/>
    </row>
    <row r="11" spans="1:6">
      <c r="C11" s="1"/>
      <c r="D11" s="1"/>
    </row>
  </sheetData>
  <mergeCells count="1"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811E-5E74-43C4-8F69-5143B7D41644}">
  <dimension ref="A1:G12"/>
  <sheetViews>
    <sheetView workbookViewId="0">
      <selection activeCell="B20" sqref="B20"/>
    </sheetView>
  </sheetViews>
  <sheetFormatPr defaultRowHeight="14.4"/>
  <cols>
    <col min="1" max="1" width="17.7890625" customWidth="1"/>
    <col min="2" max="2" width="12.20703125" customWidth="1"/>
    <col min="3" max="3" width="12.89453125" customWidth="1"/>
    <col min="4" max="4" width="15.1015625" customWidth="1"/>
    <col min="5" max="5" width="11.3671875" customWidth="1"/>
    <col min="6" max="6" width="11.26171875" customWidth="1"/>
  </cols>
  <sheetData>
    <row r="1" spans="1:7" ht="16.8">
      <c r="A1" s="97" t="s">
        <v>96</v>
      </c>
      <c r="B1" s="97"/>
      <c r="C1" s="97"/>
    </row>
    <row r="2" spans="1:7" s="27" customFormat="1">
      <c r="A2" s="28" t="s">
        <v>152</v>
      </c>
      <c r="B2" s="30" t="s">
        <v>0</v>
      </c>
      <c r="C2" s="30" t="s">
        <v>176</v>
      </c>
    </row>
    <row r="3" spans="1:7" s="2" customFormat="1" ht="20.399999999999999">
      <c r="A3" s="29" t="s">
        <v>92</v>
      </c>
      <c r="B3" s="9" t="s">
        <v>93</v>
      </c>
      <c r="C3" s="9">
        <v>4</v>
      </c>
      <c r="D3" s="60" t="s">
        <v>114</v>
      </c>
    </row>
    <row r="4" spans="1:7" s="3" customFormat="1" ht="15.6">
      <c r="A4" s="98" t="s">
        <v>150</v>
      </c>
      <c r="B4" s="99"/>
      <c r="C4" s="99"/>
      <c r="D4" s="100"/>
      <c r="E4" s="101"/>
      <c r="F4" s="101"/>
    </row>
    <row r="7" spans="1:7">
      <c r="A7" s="3" t="s">
        <v>99</v>
      </c>
      <c r="B7" s="3" t="s">
        <v>2</v>
      </c>
      <c r="C7" s="3" t="s">
        <v>90</v>
      </c>
      <c r="D7" s="3" t="s">
        <v>91</v>
      </c>
      <c r="E7" s="3" t="s">
        <v>94</v>
      </c>
      <c r="F7" s="3" t="s">
        <v>89</v>
      </c>
    </row>
    <row r="8" spans="1:7" ht="20.399999999999999">
      <c r="A8" t="s">
        <v>100</v>
      </c>
      <c r="B8" s="1">
        <v>99</v>
      </c>
      <c r="C8" s="29" t="s">
        <v>92</v>
      </c>
      <c r="D8" s="29">
        <v>91245698</v>
      </c>
      <c r="E8" s="29" t="s">
        <v>95</v>
      </c>
      <c r="F8" s="8">
        <v>47027</v>
      </c>
      <c r="G8" s="61" t="s">
        <v>115</v>
      </c>
    </row>
    <row r="9" spans="1:7">
      <c r="A9" t="s">
        <v>100</v>
      </c>
      <c r="B9" s="1">
        <v>108.5</v>
      </c>
      <c r="C9" s="29" t="s">
        <v>102</v>
      </c>
      <c r="D9" s="29">
        <v>91245890</v>
      </c>
      <c r="E9" s="29" t="s">
        <v>95</v>
      </c>
      <c r="F9" s="8" t="s">
        <v>101</v>
      </c>
    </row>
    <row r="11" spans="1:7">
      <c r="A11" t="s">
        <v>106</v>
      </c>
    </row>
    <row r="12" spans="1:7">
      <c r="A12" t="s">
        <v>191</v>
      </c>
    </row>
  </sheetData>
  <mergeCells count="3">
    <mergeCell ref="A1:C1"/>
    <mergeCell ref="A4:C4"/>
    <mergeCell ref="D4:F4"/>
  </mergeCells>
  <phoneticPr fontId="19" type="noConversion"/>
  <printOptions gridLines="1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D0DC-A3FD-4E22-B04A-24E5AC6E52FA}">
  <dimension ref="A2:D24"/>
  <sheetViews>
    <sheetView workbookViewId="0">
      <selection activeCell="A13" sqref="A13:B22"/>
    </sheetView>
  </sheetViews>
  <sheetFormatPr defaultRowHeight="14.4"/>
  <cols>
    <col min="1" max="1" width="19" customWidth="1"/>
    <col min="2" max="2" width="22.5234375" customWidth="1"/>
  </cols>
  <sheetData>
    <row r="2" spans="1:4" ht="15.6">
      <c r="A2" s="6" t="s">
        <v>104</v>
      </c>
      <c r="B2" s="7" t="s">
        <v>5</v>
      </c>
      <c r="C2" s="6"/>
    </row>
    <row r="4" spans="1:4">
      <c r="A4" s="3" t="s">
        <v>29</v>
      </c>
      <c r="B4" s="3" t="s">
        <v>109</v>
      </c>
      <c r="C4" s="3" t="s">
        <v>105</v>
      </c>
    </row>
    <row r="5" spans="1:4">
      <c r="A5" t="s">
        <v>149</v>
      </c>
      <c r="B5" t="s">
        <v>103</v>
      </c>
      <c r="C5" t="s">
        <v>148</v>
      </c>
    </row>
    <row r="7" spans="1:4" ht="15.6">
      <c r="A7" s="98" t="s">
        <v>150</v>
      </c>
      <c r="B7" s="99"/>
      <c r="C7" s="99"/>
    </row>
    <row r="9" spans="1:4" ht="15.6">
      <c r="A9" s="1"/>
      <c r="B9" s="6" t="s">
        <v>17</v>
      </c>
    </row>
    <row r="10" spans="1:4" ht="15.6">
      <c r="A10" s="11" t="s">
        <v>109</v>
      </c>
      <c r="B10" s="6" t="s">
        <v>105</v>
      </c>
    </row>
    <row r="11" spans="1:4">
      <c r="A11" s="9" t="s">
        <v>30</v>
      </c>
      <c r="B11" s="4">
        <v>45221</v>
      </c>
    </row>
    <row r="12" spans="1:4" ht="15.6">
      <c r="A12" s="11" t="s">
        <v>78</v>
      </c>
      <c r="B12" s="6" t="s">
        <v>47</v>
      </c>
      <c r="C12" s="13"/>
      <c r="D12" s="13"/>
    </row>
    <row r="13" spans="1:4">
      <c r="A13" s="19">
        <v>1</v>
      </c>
      <c r="B13" s="5">
        <v>3.5</v>
      </c>
    </row>
    <row r="14" spans="1:4">
      <c r="A14" s="19">
        <v>2</v>
      </c>
      <c r="B14" s="5">
        <v>4.2300000000000004</v>
      </c>
    </row>
    <row r="15" spans="1:4">
      <c r="A15" s="19">
        <v>3</v>
      </c>
      <c r="B15" s="5">
        <v>4.84</v>
      </c>
    </row>
    <row r="16" spans="1:4">
      <c r="A16" s="20">
        <v>6</v>
      </c>
      <c r="B16" s="5">
        <v>4.5999999999999996</v>
      </c>
    </row>
    <row r="17" spans="1:3">
      <c r="A17" s="20">
        <v>12</v>
      </c>
      <c r="B17" s="5">
        <v>4.95</v>
      </c>
    </row>
    <row r="18" spans="1:3">
      <c r="A18" s="20">
        <v>24</v>
      </c>
      <c r="B18" s="5">
        <v>5.3</v>
      </c>
    </row>
    <row r="19" spans="1:3">
      <c r="A19" s="20">
        <v>36</v>
      </c>
      <c r="B19" s="5">
        <v>5.65</v>
      </c>
    </row>
    <row r="20" spans="1:3">
      <c r="A20" s="20">
        <v>60</v>
      </c>
      <c r="B20" s="5">
        <v>6</v>
      </c>
    </row>
    <row r="21" spans="1:3">
      <c r="A21" s="20">
        <v>84</v>
      </c>
      <c r="B21" s="5">
        <v>6.35</v>
      </c>
    </row>
    <row r="22" spans="1:3">
      <c r="A22" s="20">
        <v>120</v>
      </c>
      <c r="B22" s="5">
        <v>6.7</v>
      </c>
    </row>
    <row r="24" spans="1:3" ht="15.6">
      <c r="A24" s="98" t="s">
        <v>151</v>
      </c>
      <c r="B24" s="99"/>
      <c r="C24" s="99"/>
    </row>
  </sheetData>
  <mergeCells count="2">
    <mergeCell ref="A7:C7"/>
    <mergeCell ref="A24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3B1F-1AF6-4F8D-9294-2E407E303326}">
  <dimension ref="A1:C9"/>
  <sheetViews>
    <sheetView workbookViewId="0">
      <selection activeCell="C3" sqref="C3"/>
    </sheetView>
  </sheetViews>
  <sheetFormatPr defaultRowHeight="14.4"/>
  <cols>
    <col min="1" max="1" width="15.20703125" customWidth="1"/>
    <col min="2" max="2" width="16.20703125" customWidth="1"/>
    <col min="3" max="3" width="15.89453125" customWidth="1"/>
  </cols>
  <sheetData>
    <row r="1" spans="1:3" s="6" customFormat="1" ht="15.6">
      <c r="A1" s="6" t="s">
        <v>104</v>
      </c>
      <c r="B1" s="7" t="s">
        <v>5</v>
      </c>
    </row>
    <row r="2" spans="1:3">
      <c r="A2" s="3" t="s">
        <v>64</v>
      </c>
      <c r="C2" s="3" t="s">
        <v>66</v>
      </c>
    </row>
    <row r="3" spans="1:3">
      <c r="A3" s="1" t="s">
        <v>65</v>
      </c>
      <c r="C3" t="s">
        <v>27</v>
      </c>
    </row>
    <row r="7" spans="1:3" ht="15.6">
      <c r="A7" s="6" t="s">
        <v>104</v>
      </c>
      <c r="B7" s="7" t="s">
        <v>5</v>
      </c>
      <c r="C7" s="6"/>
    </row>
    <row r="8" spans="1:3">
      <c r="A8" s="3" t="s">
        <v>64</v>
      </c>
      <c r="C8" s="3" t="s">
        <v>66</v>
      </c>
    </row>
    <row r="9" spans="1:3">
      <c r="A9" s="1" t="s">
        <v>121</v>
      </c>
      <c r="C9" t="s">
        <v>120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7824-AEEC-42A3-A38B-F9D262F6E8BB}">
  <dimension ref="A1:F23"/>
  <sheetViews>
    <sheetView topLeftCell="A11" workbookViewId="0">
      <selection activeCell="C26" sqref="C26"/>
    </sheetView>
  </sheetViews>
  <sheetFormatPr defaultRowHeight="14.4"/>
  <cols>
    <col min="1" max="1" width="26.5234375" customWidth="1"/>
    <col min="2" max="2" width="30.41796875" customWidth="1"/>
    <col min="3" max="3" width="18.41796875" customWidth="1"/>
  </cols>
  <sheetData>
    <row r="1" spans="1:6" ht="15.6">
      <c r="A1" s="6" t="s">
        <v>104</v>
      </c>
      <c r="B1" s="7" t="s">
        <v>5</v>
      </c>
      <c r="C1" s="6"/>
    </row>
    <row r="2" spans="1:6" ht="15.6">
      <c r="A2" s="102" t="s">
        <v>20</v>
      </c>
      <c r="B2" s="103"/>
      <c r="C2" s="11"/>
      <c r="E2" s="11"/>
      <c r="F2" s="13"/>
    </row>
    <row r="3" spans="1:6" ht="15.6">
      <c r="A3" s="11" t="s">
        <v>123</v>
      </c>
      <c r="B3" s="11" t="s">
        <v>21</v>
      </c>
      <c r="C3" s="11"/>
      <c r="D3" s="11"/>
      <c r="E3" s="11"/>
      <c r="F3" s="11"/>
    </row>
    <row r="4" spans="1:6">
      <c r="A4" s="1">
        <v>0.48765320000000001</v>
      </c>
      <c r="B4" s="50">
        <v>44972</v>
      </c>
      <c r="C4" s="1"/>
      <c r="D4" s="1"/>
      <c r="E4" s="1"/>
      <c r="F4" s="1"/>
    </row>
    <row r="5" spans="1:6">
      <c r="A5" s="10" t="s">
        <v>110</v>
      </c>
      <c r="B5" s="10" t="s">
        <v>124</v>
      </c>
      <c r="C5" s="10"/>
      <c r="D5" s="10"/>
      <c r="E5" s="10"/>
      <c r="F5" s="10"/>
    </row>
    <row r="6" spans="1:6">
      <c r="A6" s="9">
        <v>48</v>
      </c>
      <c r="B6" s="9">
        <v>120</v>
      </c>
      <c r="C6" s="1"/>
      <c r="D6" s="9"/>
      <c r="E6" s="9"/>
      <c r="F6" s="9"/>
    </row>
    <row r="7" spans="1:6" ht="15.6">
      <c r="A7" s="11" t="s">
        <v>22</v>
      </c>
      <c r="B7" s="10" t="s">
        <v>23</v>
      </c>
    </row>
    <row r="8" spans="1:6">
      <c r="A8" s="1">
        <v>44</v>
      </c>
      <c r="B8" s="9" t="s">
        <v>61</v>
      </c>
    </row>
    <row r="9" spans="1:6">
      <c r="A9" s="10" t="s">
        <v>25</v>
      </c>
    </row>
    <row r="10" spans="1:6">
      <c r="A10" s="9">
        <v>120</v>
      </c>
    </row>
    <row r="13" spans="1:6" ht="15.6">
      <c r="A13" s="6" t="s">
        <v>104</v>
      </c>
      <c r="B13" s="7" t="s">
        <v>125</v>
      </c>
    </row>
    <row r="14" spans="1:6" ht="15.6">
      <c r="A14" s="102" t="s">
        <v>20</v>
      </c>
      <c r="B14" s="103"/>
    </row>
    <row r="15" spans="1:6" ht="15.6">
      <c r="A15" s="11" t="s">
        <v>123</v>
      </c>
      <c r="B15" s="11" t="s">
        <v>21</v>
      </c>
    </row>
    <row r="16" spans="1:6">
      <c r="A16" s="1" t="s">
        <v>126</v>
      </c>
      <c r="B16" s="50" t="s">
        <v>127</v>
      </c>
    </row>
    <row r="17" spans="1:2">
      <c r="A17" s="10" t="s">
        <v>110</v>
      </c>
      <c r="B17" s="10" t="s">
        <v>124</v>
      </c>
    </row>
    <row r="18" spans="1:2">
      <c r="A18" s="9" t="s">
        <v>128</v>
      </c>
      <c r="B18" s="9" t="s">
        <v>128</v>
      </c>
    </row>
    <row r="19" spans="1:2" ht="15.6">
      <c r="A19" s="11" t="s">
        <v>22</v>
      </c>
      <c r="B19" s="10" t="s">
        <v>23</v>
      </c>
    </row>
    <row r="20" spans="1:2">
      <c r="A20" s="1" t="s">
        <v>128</v>
      </c>
      <c r="B20" s="9" t="s">
        <v>118</v>
      </c>
    </row>
    <row r="21" spans="1:2">
      <c r="A21" s="10" t="s">
        <v>25</v>
      </c>
    </row>
    <row r="22" spans="1:2">
      <c r="A22" s="9" t="s">
        <v>119</v>
      </c>
    </row>
    <row r="23" spans="1:2">
      <c r="A23" s="9"/>
      <c r="B23" s="9"/>
    </row>
  </sheetData>
  <mergeCells count="2">
    <mergeCell ref="A2:B2"/>
    <mergeCell ref="A14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79B0-38C0-46A5-8D22-C569F86573E7}">
  <dimension ref="A1:E12"/>
  <sheetViews>
    <sheetView workbookViewId="0">
      <selection activeCell="A4" sqref="A4"/>
    </sheetView>
  </sheetViews>
  <sheetFormatPr defaultRowHeight="14.4"/>
  <cols>
    <col min="1" max="1" width="19" customWidth="1"/>
    <col min="2" max="2" width="21.89453125" customWidth="1"/>
    <col min="3" max="3" width="21.68359375" customWidth="1"/>
  </cols>
  <sheetData>
    <row r="1" spans="1:5" ht="15.6">
      <c r="A1" s="6" t="s">
        <v>104</v>
      </c>
      <c r="B1" s="7" t="s">
        <v>5</v>
      </c>
    </row>
    <row r="3" spans="1:5" ht="15.6">
      <c r="A3" s="13"/>
      <c r="B3" s="11" t="s">
        <v>24</v>
      </c>
      <c r="C3" s="13"/>
      <c r="D3" s="13"/>
      <c r="E3" s="1"/>
    </row>
    <row r="4" spans="1:5" ht="15.6">
      <c r="A4" s="11" t="s">
        <v>111</v>
      </c>
      <c r="B4" s="11" t="s">
        <v>26</v>
      </c>
      <c r="C4" s="11" t="s">
        <v>28</v>
      </c>
      <c r="D4" s="1"/>
    </row>
    <row r="5" spans="1:5">
      <c r="A5" s="1">
        <v>2.8</v>
      </c>
      <c r="B5" s="1">
        <v>5</v>
      </c>
      <c r="C5" s="1" t="s">
        <v>75</v>
      </c>
    </row>
    <row r="8" spans="1:5" ht="15.6">
      <c r="A8" s="6" t="s">
        <v>104</v>
      </c>
      <c r="B8" s="7" t="s">
        <v>129</v>
      </c>
    </row>
    <row r="10" spans="1:5" ht="15.6">
      <c r="A10" s="13"/>
      <c r="B10" s="11" t="s">
        <v>24</v>
      </c>
      <c r="C10" s="13"/>
    </row>
    <row r="11" spans="1:5" ht="15.6">
      <c r="A11" s="11" t="s">
        <v>111</v>
      </c>
      <c r="B11" s="11" t="s">
        <v>26</v>
      </c>
      <c r="C11" s="11" t="s">
        <v>28</v>
      </c>
    </row>
    <row r="12" spans="1:5">
      <c r="A12" s="1" t="s">
        <v>119</v>
      </c>
      <c r="B12" s="1" t="s">
        <v>130</v>
      </c>
      <c r="C12" s="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2BEB-7A2E-45B1-A298-258E63A1C81C}">
  <dimension ref="A1:C29"/>
  <sheetViews>
    <sheetView topLeftCell="A3" workbookViewId="0">
      <selection activeCell="A6" sqref="A6"/>
    </sheetView>
  </sheetViews>
  <sheetFormatPr defaultRowHeight="14.4"/>
  <cols>
    <col min="1" max="1" width="33.7890625" customWidth="1"/>
    <col min="2" max="2" width="15.5234375" customWidth="1"/>
  </cols>
  <sheetData>
    <row r="1" spans="1:3">
      <c r="A1" s="10" t="s">
        <v>104</v>
      </c>
    </row>
    <row r="2" spans="1:3">
      <c r="A2" s="1" t="s">
        <v>5</v>
      </c>
      <c r="B2" s="3"/>
    </row>
    <row r="3" spans="1:3" ht="16.8">
      <c r="A3" s="104" t="s">
        <v>16</v>
      </c>
      <c r="B3" s="104"/>
      <c r="C3" s="7"/>
    </row>
    <row r="4" spans="1:3" ht="16.8">
      <c r="A4" s="58" t="s">
        <v>167</v>
      </c>
      <c r="B4" s="58"/>
      <c r="C4" s="7"/>
    </row>
    <row r="5" spans="1:3" ht="16.8">
      <c r="A5" s="58" t="s">
        <v>169</v>
      </c>
      <c r="B5" s="58"/>
      <c r="C5" s="7"/>
    </row>
    <row r="6" spans="1:3" ht="15.6">
      <c r="A6" s="11" t="s">
        <v>18</v>
      </c>
      <c r="B6" s="11" t="s">
        <v>19</v>
      </c>
    </row>
    <row r="7" spans="1:3">
      <c r="A7" s="8">
        <v>46101</v>
      </c>
      <c r="B7" s="9">
        <v>102</v>
      </c>
    </row>
    <row r="8" spans="1:3">
      <c r="A8" s="8" t="s">
        <v>63</v>
      </c>
      <c r="B8" s="9">
        <v>103</v>
      </c>
    </row>
    <row r="9" spans="1:3">
      <c r="A9" s="8">
        <v>46832</v>
      </c>
      <c r="B9" s="9">
        <v>104</v>
      </c>
    </row>
    <row r="10" spans="1:3">
      <c r="A10" s="8"/>
      <c r="B10" s="9"/>
    </row>
    <row r="11" spans="1:3">
      <c r="A11" s="8"/>
      <c r="B11" s="9"/>
    </row>
    <row r="12" spans="1:3">
      <c r="A12" s="8"/>
      <c r="B12" s="9"/>
    </row>
    <row r="13" spans="1:3">
      <c r="A13" s="8"/>
      <c r="B13" s="9"/>
    </row>
    <row r="17" spans="1:2">
      <c r="A17" s="10" t="s">
        <v>104</v>
      </c>
    </row>
    <row r="18" spans="1:2">
      <c r="A18" s="1" t="s">
        <v>129</v>
      </c>
      <c r="B18" s="3"/>
    </row>
    <row r="19" spans="1:2" ht="16.8">
      <c r="A19" s="104" t="s">
        <v>16</v>
      </c>
      <c r="B19" s="104"/>
    </row>
    <row r="20" spans="1:2" ht="16.8">
      <c r="A20" s="58" t="s">
        <v>167</v>
      </c>
      <c r="B20" s="58"/>
    </row>
    <row r="21" spans="1:2" ht="16.8">
      <c r="A21" s="58" t="s">
        <v>168</v>
      </c>
      <c r="B21" s="58"/>
    </row>
    <row r="22" spans="1:2" ht="15.6">
      <c r="A22" s="11" t="s">
        <v>18</v>
      </c>
      <c r="B22" s="11" t="s">
        <v>19</v>
      </c>
    </row>
    <row r="23" spans="1:2">
      <c r="A23" s="8" t="s">
        <v>29</v>
      </c>
      <c r="B23" s="9" t="s">
        <v>119</v>
      </c>
    </row>
    <row r="24" spans="1:2">
      <c r="A24" s="8" t="s">
        <v>29</v>
      </c>
      <c r="B24" s="9" t="s">
        <v>119</v>
      </c>
    </row>
    <row r="25" spans="1:2">
      <c r="A25" s="8" t="s">
        <v>29</v>
      </c>
      <c r="B25" s="9" t="s">
        <v>119</v>
      </c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8"/>
      <c r="B29" s="9"/>
    </row>
  </sheetData>
  <mergeCells count="2">
    <mergeCell ref="A3:B3"/>
    <mergeCell ref="A19:B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7C9D-0F45-41C4-888B-F8460DA90D27}">
  <dimension ref="A1:C29"/>
  <sheetViews>
    <sheetView workbookViewId="0">
      <selection activeCell="E1" sqref="E1"/>
    </sheetView>
  </sheetViews>
  <sheetFormatPr defaultRowHeight="14.4"/>
  <cols>
    <col min="1" max="1" width="33.7890625" customWidth="1"/>
    <col min="2" max="2" width="15.5234375" customWidth="1"/>
  </cols>
  <sheetData>
    <row r="1" spans="1:3">
      <c r="A1" s="10" t="s">
        <v>104</v>
      </c>
    </row>
    <row r="2" spans="1:3">
      <c r="A2" s="1" t="s">
        <v>5</v>
      </c>
      <c r="B2" s="3"/>
    </row>
    <row r="3" spans="1:3" ht="16.8">
      <c r="A3" s="104" t="s">
        <v>159</v>
      </c>
      <c r="B3" s="104"/>
      <c r="C3" s="7"/>
    </row>
    <row r="4" spans="1:3" ht="16.8">
      <c r="A4" s="58" t="s">
        <v>170</v>
      </c>
      <c r="B4" s="58"/>
      <c r="C4" s="7"/>
    </row>
    <row r="5" spans="1:3" ht="16.8">
      <c r="A5" s="58" t="s">
        <v>169</v>
      </c>
      <c r="B5" s="58"/>
      <c r="C5" s="7"/>
    </row>
    <row r="6" spans="1:3" ht="15.6">
      <c r="A6" s="11" t="s">
        <v>160</v>
      </c>
      <c r="B6" s="11" t="s">
        <v>161</v>
      </c>
    </row>
    <row r="7" spans="1:3">
      <c r="A7" s="8">
        <v>46101</v>
      </c>
      <c r="B7" s="9">
        <v>102</v>
      </c>
    </row>
    <row r="8" spans="1:3">
      <c r="A8" s="8" t="s">
        <v>63</v>
      </c>
      <c r="B8" s="9">
        <v>103</v>
      </c>
    </row>
    <row r="9" spans="1:3">
      <c r="A9" s="8">
        <v>46832</v>
      </c>
      <c r="B9" s="9">
        <v>104</v>
      </c>
    </row>
    <row r="10" spans="1:3">
      <c r="A10" s="8"/>
      <c r="B10" s="9"/>
    </row>
    <row r="11" spans="1:3">
      <c r="A11" s="8"/>
      <c r="B11" s="9"/>
    </row>
    <row r="12" spans="1:3">
      <c r="A12" s="8"/>
      <c r="B12" s="9"/>
    </row>
    <row r="13" spans="1:3">
      <c r="A13" s="8"/>
      <c r="B13" s="9"/>
    </row>
    <row r="17" spans="1:2">
      <c r="A17" s="10" t="s">
        <v>104</v>
      </c>
    </row>
    <row r="18" spans="1:2">
      <c r="A18" s="1" t="s">
        <v>129</v>
      </c>
      <c r="B18" s="3"/>
    </row>
    <row r="19" spans="1:2" ht="16.8">
      <c r="A19" s="104" t="s">
        <v>159</v>
      </c>
      <c r="B19" s="104"/>
    </row>
    <row r="20" spans="1:2" ht="16.8">
      <c r="A20" s="58" t="s">
        <v>170</v>
      </c>
      <c r="B20" s="58"/>
    </row>
    <row r="21" spans="1:2" ht="16.8">
      <c r="A21" s="58" t="s">
        <v>168</v>
      </c>
      <c r="B21" s="58"/>
    </row>
    <row r="22" spans="1:2" ht="15.6">
      <c r="A22" s="11" t="s">
        <v>160</v>
      </c>
      <c r="B22" s="11" t="s">
        <v>161</v>
      </c>
    </row>
    <row r="23" spans="1:2">
      <c r="A23" s="8" t="s">
        <v>29</v>
      </c>
      <c r="B23" s="9" t="s">
        <v>119</v>
      </c>
    </row>
    <row r="24" spans="1:2">
      <c r="A24" s="8" t="s">
        <v>29</v>
      </c>
      <c r="B24" s="9" t="s">
        <v>119</v>
      </c>
    </row>
    <row r="25" spans="1:2">
      <c r="A25" s="8" t="s">
        <v>29</v>
      </c>
      <c r="B25" s="9" t="s">
        <v>119</v>
      </c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8"/>
      <c r="B29" s="9"/>
    </row>
  </sheetData>
  <mergeCells count="2">
    <mergeCell ref="A3:B3"/>
    <mergeCell ref="A19:B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92B7-2E06-4ECA-94DF-04CE86691C15}">
  <dimension ref="A1:D24"/>
  <sheetViews>
    <sheetView workbookViewId="0">
      <selection activeCell="G20" sqref="G20"/>
    </sheetView>
  </sheetViews>
  <sheetFormatPr defaultRowHeight="14.4"/>
  <cols>
    <col min="1" max="1" width="33.7890625" customWidth="1"/>
    <col min="2" max="2" width="15.5234375" customWidth="1"/>
    <col min="3" max="3" width="13.5234375" customWidth="1"/>
  </cols>
  <sheetData>
    <row r="1" spans="1:4">
      <c r="A1" s="10" t="s">
        <v>104</v>
      </c>
    </row>
    <row r="2" spans="1:4">
      <c r="A2" s="1" t="s">
        <v>5</v>
      </c>
      <c r="B2" s="3"/>
    </row>
    <row r="3" spans="1:4" ht="16.8">
      <c r="A3" s="104" t="s">
        <v>171</v>
      </c>
      <c r="B3" s="104"/>
      <c r="C3" s="7"/>
    </row>
    <row r="4" spans="1:4" s="6" customFormat="1" ht="15.6">
      <c r="A4" s="11" t="s">
        <v>172</v>
      </c>
      <c r="B4" s="11" t="s">
        <v>173</v>
      </c>
      <c r="C4" s="64" t="s">
        <v>174</v>
      </c>
      <c r="D4" s="64" t="s">
        <v>175</v>
      </c>
    </row>
    <row r="5" spans="1:4">
      <c r="A5" s="8">
        <v>46101</v>
      </c>
      <c r="B5" s="44">
        <v>3.5</v>
      </c>
      <c r="C5" s="5">
        <v>1.2</v>
      </c>
      <c r="D5" s="5">
        <v>0.64</v>
      </c>
    </row>
    <row r="6" spans="1:4">
      <c r="A6" s="8" t="s">
        <v>63</v>
      </c>
      <c r="B6" s="44">
        <v>4.2</v>
      </c>
      <c r="C6" s="5">
        <v>1.3</v>
      </c>
      <c r="D6" s="5">
        <v>0.54</v>
      </c>
    </row>
    <row r="7" spans="1:4">
      <c r="A7" s="8">
        <v>46832</v>
      </c>
      <c r="B7" s="44">
        <v>4.9000000000000004</v>
      </c>
      <c r="C7" s="5">
        <v>1.3</v>
      </c>
      <c r="D7" s="5">
        <v>0.54</v>
      </c>
    </row>
    <row r="8" spans="1:4">
      <c r="A8" s="8"/>
      <c r="B8" s="44"/>
      <c r="C8" s="5"/>
      <c r="D8" s="5"/>
    </row>
    <row r="9" spans="1:4">
      <c r="A9" s="8"/>
      <c r="B9" s="44"/>
      <c r="C9" s="5"/>
      <c r="D9" s="5"/>
    </row>
    <row r="10" spans="1:4">
      <c r="A10" s="8"/>
      <c r="B10" s="44"/>
      <c r="C10" s="5"/>
      <c r="D10" s="5"/>
    </row>
    <row r="11" spans="1:4">
      <c r="A11" s="8"/>
      <c r="B11" s="44"/>
      <c r="C11" s="5"/>
      <c r="D11" s="5"/>
    </row>
    <row r="14" spans="1:4">
      <c r="A14" s="10" t="s">
        <v>104</v>
      </c>
    </row>
    <row r="15" spans="1:4">
      <c r="A15" s="1" t="s">
        <v>129</v>
      </c>
      <c r="B15" s="3"/>
    </row>
    <row r="16" spans="1:4" ht="16.8">
      <c r="A16" s="104" t="s">
        <v>171</v>
      </c>
      <c r="B16" s="104"/>
    </row>
    <row r="17" spans="1:4" ht="15.6">
      <c r="A17" s="11" t="s">
        <v>172</v>
      </c>
      <c r="B17" s="11" t="s">
        <v>173</v>
      </c>
      <c r="C17" s="64" t="s">
        <v>174</v>
      </c>
      <c r="D17" s="64" t="s">
        <v>175</v>
      </c>
    </row>
    <row r="18" spans="1:4">
      <c r="A18" s="8" t="s">
        <v>122</v>
      </c>
      <c r="B18" s="9" t="s">
        <v>119</v>
      </c>
      <c r="C18" s="5" t="s">
        <v>119</v>
      </c>
      <c r="D18" s="5" t="s">
        <v>119</v>
      </c>
    </row>
    <row r="19" spans="1:4">
      <c r="A19" s="8" t="s">
        <v>122</v>
      </c>
      <c r="B19" s="9" t="s">
        <v>119</v>
      </c>
      <c r="C19" s="5" t="s">
        <v>119</v>
      </c>
      <c r="D19" s="5" t="s">
        <v>119</v>
      </c>
    </row>
    <row r="20" spans="1:4">
      <c r="A20" s="8" t="s">
        <v>122</v>
      </c>
      <c r="B20" s="9" t="s">
        <v>119</v>
      </c>
      <c r="C20" s="5" t="s">
        <v>119</v>
      </c>
      <c r="D20" s="5" t="s">
        <v>119</v>
      </c>
    </row>
    <row r="21" spans="1:4">
      <c r="A21" s="8" t="s">
        <v>122</v>
      </c>
      <c r="B21" s="9" t="s">
        <v>119</v>
      </c>
      <c r="C21" s="5" t="s">
        <v>119</v>
      </c>
      <c r="D21" s="5" t="s">
        <v>119</v>
      </c>
    </row>
    <row r="22" spans="1:4">
      <c r="A22" s="8" t="s">
        <v>122</v>
      </c>
      <c r="B22" s="9" t="s">
        <v>119</v>
      </c>
      <c r="C22" s="5" t="s">
        <v>119</v>
      </c>
      <c r="D22" s="5" t="s">
        <v>119</v>
      </c>
    </row>
    <row r="23" spans="1:4">
      <c r="A23" s="8" t="s">
        <v>122</v>
      </c>
      <c r="B23" s="9" t="s">
        <v>119</v>
      </c>
      <c r="C23" s="5" t="s">
        <v>119</v>
      </c>
      <c r="D23" s="5" t="s">
        <v>119</v>
      </c>
    </row>
    <row r="24" spans="1:4">
      <c r="A24" s="8" t="s">
        <v>122</v>
      </c>
      <c r="B24" s="9" t="s">
        <v>119</v>
      </c>
      <c r="C24" s="5" t="s">
        <v>119</v>
      </c>
      <c r="D24" s="5" t="s">
        <v>119</v>
      </c>
    </row>
  </sheetData>
  <mergeCells count="2">
    <mergeCell ref="A3:B3"/>
    <mergeCell ref="A16:B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606B-BF6E-4E80-BA56-D7D92C2E4273}">
  <dimension ref="A1:C30"/>
  <sheetViews>
    <sheetView workbookViewId="0">
      <selection activeCell="E27" sqref="E27"/>
    </sheetView>
  </sheetViews>
  <sheetFormatPr defaultColWidth="9.1015625" defaultRowHeight="14.4"/>
  <cols>
    <col min="1" max="1" width="29.1015625" style="1" customWidth="1"/>
    <col min="2" max="2" width="17.41796875" style="1" customWidth="1"/>
    <col min="3" max="3" width="9.1015625" style="1"/>
    <col min="4" max="4" width="4.1015625" style="1" customWidth="1"/>
    <col min="5" max="16384" width="9.1015625" style="1"/>
  </cols>
  <sheetData>
    <row r="1" spans="1:3" s="10" customFormat="1">
      <c r="A1" s="10" t="s">
        <v>104</v>
      </c>
    </row>
    <row r="2" spans="1:3">
      <c r="A2" s="1" t="s">
        <v>5</v>
      </c>
      <c r="B2" s="10"/>
    </row>
    <row r="3" spans="1:3" ht="15.6">
      <c r="A3" s="13"/>
      <c r="B3" s="11" t="s">
        <v>70</v>
      </c>
      <c r="C3" s="13"/>
    </row>
    <row r="4" spans="1:3" ht="15.6">
      <c r="A4" s="13"/>
      <c r="B4" s="11"/>
      <c r="C4" s="13"/>
    </row>
    <row r="5" spans="1:3" ht="15.6">
      <c r="A5" s="11" t="s">
        <v>73</v>
      </c>
      <c r="B5" s="13">
        <v>60</v>
      </c>
    </row>
    <row r="6" spans="1:3" ht="15.6">
      <c r="A6" s="13"/>
      <c r="B6" s="13"/>
    </row>
    <row r="7" spans="1:3" ht="15.6">
      <c r="A7" s="11" t="s">
        <v>69</v>
      </c>
      <c r="B7" s="11" t="s">
        <v>71</v>
      </c>
      <c r="C7" s="10" t="s">
        <v>72</v>
      </c>
    </row>
    <row r="8" spans="1:3">
      <c r="A8" s="8">
        <v>46101</v>
      </c>
      <c r="B8" s="18">
        <v>500000</v>
      </c>
      <c r="C8" s="9">
        <v>102</v>
      </c>
    </row>
    <row r="9" spans="1:3">
      <c r="A9" s="8">
        <v>46466</v>
      </c>
      <c r="B9" s="18">
        <v>100000</v>
      </c>
      <c r="C9" s="9">
        <v>103</v>
      </c>
    </row>
    <row r="10" spans="1:3">
      <c r="A10" s="8">
        <v>46832</v>
      </c>
      <c r="B10" s="18">
        <v>50000</v>
      </c>
      <c r="C10" s="9">
        <v>104</v>
      </c>
    </row>
    <row r="11" spans="1:3">
      <c r="A11" s="8"/>
      <c r="B11" s="9"/>
      <c r="C11" s="9"/>
    </row>
    <row r="12" spans="1:3">
      <c r="A12" s="8"/>
      <c r="B12" s="9"/>
      <c r="C12" s="9"/>
    </row>
    <row r="13" spans="1:3">
      <c r="A13" s="8"/>
      <c r="B13" s="9"/>
      <c r="C13" s="9"/>
    </row>
    <row r="14" spans="1:3">
      <c r="A14" s="8"/>
      <c r="B14" s="9"/>
      <c r="C14" s="9"/>
    </row>
    <row r="17" spans="1:3">
      <c r="A17" s="10" t="s">
        <v>104</v>
      </c>
      <c r="B17" s="10"/>
      <c r="C17" s="10"/>
    </row>
    <row r="18" spans="1:3">
      <c r="A18" s="1" t="s">
        <v>131</v>
      </c>
      <c r="B18" s="10"/>
    </row>
    <row r="19" spans="1:3" ht="15.6">
      <c r="A19" s="13"/>
      <c r="B19" s="11" t="s">
        <v>70</v>
      </c>
      <c r="C19" s="13"/>
    </row>
    <row r="20" spans="1:3" ht="15.6">
      <c r="A20" s="13"/>
      <c r="B20" s="11"/>
      <c r="C20" s="13"/>
    </row>
    <row r="21" spans="1:3" ht="15.6">
      <c r="A21" s="11" t="s">
        <v>73</v>
      </c>
      <c r="B21" s="13" t="s">
        <v>132</v>
      </c>
    </row>
    <row r="22" spans="1:3" ht="15.6">
      <c r="A22" s="13"/>
      <c r="B22" s="13"/>
    </row>
    <row r="23" spans="1:3" ht="15.6">
      <c r="A23" s="11" t="s">
        <v>69</v>
      </c>
      <c r="B23" s="11" t="s">
        <v>71</v>
      </c>
      <c r="C23" s="10" t="s">
        <v>72</v>
      </c>
    </row>
    <row r="24" spans="1:3">
      <c r="A24" s="8" t="s">
        <v>122</v>
      </c>
      <c r="B24" s="18" t="s">
        <v>119</v>
      </c>
      <c r="C24" s="9" t="s">
        <v>119</v>
      </c>
    </row>
    <row r="25" spans="1:3">
      <c r="A25" s="8" t="s">
        <v>122</v>
      </c>
      <c r="B25" s="18" t="s">
        <v>119</v>
      </c>
      <c r="C25" s="9" t="s">
        <v>119</v>
      </c>
    </row>
    <row r="26" spans="1:3">
      <c r="A26" s="8" t="s">
        <v>122</v>
      </c>
      <c r="B26" s="18" t="s">
        <v>119</v>
      </c>
      <c r="C26" s="9" t="s">
        <v>119</v>
      </c>
    </row>
    <row r="27" spans="1:3">
      <c r="A27" s="8" t="s">
        <v>122</v>
      </c>
      <c r="B27" s="18" t="s">
        <v>119</v>
      </c>
      <c r="C27" s="9" t="s">
        <v>119</v>
      </c>
    </row>
    <row r="28" spans="1:3">
      <c r="A28" s="8"/>
      <c r="B28" s="9"/>
      <c r="C28" s="9"/>
    </row>
    <row r="29" spans="1:3">
      <c r="A29" s="8"/>
      <c r="B29" s="9"/>
      <c r="C29" s="9"/>
    </row>
    <row r="30" spans="1:3">
      <c r="A30" s="8"/>
      <c r="B30" s="9"/>
      <c r="C30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5936-4F4C-469C-8489-C99325753CD8}">
  <dimension ref="A1:U34"/>
  <sheetViews>
    <sheetView workbookViewId="0">
      <selection sqref="A1:E16"/>
    </sheetView>
  </sheetViews>
  <sheetFormatPr defaultRowHeight="12.9"/>
  <cols>
    <col min="1" max="1" width="23.20703125" style="53" customWidth="1"/>
    <col min="2" max="2" width="10.62890625" style="68" customWidth="1"/>
    <col min="3" max="3" width="10.89453125" style="68" customWidth="1"/>
    <col min="4" max="4" width="9.68359375" style="68" customWidth="1"/>
    <col min="5" max="5" width="11.578125" style="68" customWidth="1"/>
    <col min="6" max="16384" width="8.83984375" style="68"/>
  </cols>
  <sheetData>
    <row r="1" spans="1:5">
      <c r="A1" s="65" t="s">
        <v>104</v>
      </c>
    </row>
    <row r="2" spans="1:5">
      <c r="A2" s="68" t="s">
        <v>5</v>
      </c>
      <c r="B2" s="69"/>
    </row>
    <row r="3" spans="1:5">
      <c r="B3" s="69"/>
    </row>
    <row r="4" spans="1:5" s="69" customFormat="1">
      <c r="A4" s="65" t="s">
        <v>45</v>
      </c>
      <c r="B4" s="69" t="s">
        <v>46</v>
      </c>
    </row>
    <row r="5" spans="1:5">
      <c r="A5" s="53" t="s">
        <v>30</v>
      </c>
      <c r="B5" s="73">
        <v>45221</v>
      </c>
      <c r="C5" s="53" t="s">
        <v>164</v>
      </c>
      <c r="D5" s="53"/>
      <c r="E5" s="53"/>
    </row>
    <row r="6" spans="1:5">
      <c r="A6" s="53" t="s">
        <v>163</v>
      </c>
      <c r="B6" s="53" t="s">
        <v>47</v>
      </c>
      <c r="C6" s="53" t="s">
        <v>165</v>
      </c>
      <c r="D6" s="53" t="s">
        <v>179</v>
      </c>
      <c r="E6" s="53" t="s">
        <v>180</v>
      </c>
    </row>
    <row r="7" spans="1:5">
      <c r="A7" s="71">
        <v>1</v>
      </c>
      <c r="B7" s="53">
        <v>3.5</v>
      </c>
      <c r="C7" s="53">
        <v>0.59</v>
      </c>
      <c r="D7" s="53">
        <v>3.7</v>
      </c>
      <c r="E7" s="53">
        <v>3.1</v>
      </c>
    </row>
    <row r="8" spans="1:5">
      <c r="A8" s="71">
        <v>2</v>
      </c>
      <c r="B8" s="53">
        <v>4.2300000000000004</v>
      </c>
      <c r="C8" s="53">
        <v>0.43</v>
      </c>
      <c r="D8" s="53">
        <v>3.7</v>
      </c>
      <c r="E8" s="53">
        <v>3.1</v>
      </c>
    </row>
    <row r="9" spans="1:5">
      <c r="A9" s="71">
        <v>3</v>
      </c>
      <c r="B9" s="53">
        <v>4.84</v>
      </c>
      <c r="C9" s="53">
        <v>0.47</v>
      </c>
      <c r="D9" s="53">
        <v>3.7</v>
      </c>
      <c r="E9" s="53">
        <v>3.1</v>
      </c>
    </row>
    <row r="10" spans="1:5">
      <c r="A10" s="71">
        <v>6</v>
      </c>
      <c r="B10" s="53">
        <v>4.5999999999999996</v>
      </c>
      <c r="C10" s="53">
        <v>0.51</v>
      </c>
      <c r="D10" s="53">
        <v>3.7</v>
      </c>
      <c r="E10" s="53">
        <v>3.1</v>
      </c>
    </row>
    <row r="11" spans="1:5">
      <c r="A11" s="71">
        <v>12</v>
      </c>
      <c r="B11" s="53">
        <v>4.95</v>
      </c>
      <c r="C11" s="53">
        <v>1.22</v>
      </c>
      <c r="D11" s="53">
        <v>3.7</v>
      </c>
      <c r="E11" s="53">
        <v>3.1</v>
      </c>
    </row>
    <row r="12" spans="1:5">
      <c r="A12" s="71">
        <v>24</v>
      </c>
      <c r="B12" s="53">
        <v>5.3</v>
      </c>
      <c r="C12" s="53">
        <v>1.45</v>
      </c>
      <c r="D12" s="53">
        <v>3.7</v>
      </c>
      <c r="E12" s="53">
        <v>3.1</v>
      </c>
    </row>
    <row r="13" spans="1:5">
      <c r="A13" s="71">
        <v>36</v>
      </c>
      <c r="B13" s="53">
        <v>5.65</v>
      </c>
      <c r="C13" s="53">
        <v>1.01</v>
      </c>
      <c r="D13" s="53">
        <v>3.7</v>
      </c>
      <c r="E13" s="53">
        <v>3.1</v>
      </c>
    </row>
    <row r="14" spans="1:5">
      <c r="A14" s="71">
        <v>60</v>
      </c>
      <c r="B14" s="53">
        <v>6</v>
      </c>
      <c r="C14" s="53">
        <v>0.75</v>
      </c>
      <c r="D14" s="53">
        <v>3.7</v>
      </c>
      <c r="E14" s="53">
        <v>3.1</v>
      </c>
    </row>
    <row r="15" spans="1:5">
      <c r="A15" s="71">
        <v>84</v>
      </c>
      <c r="B15" s="53">
        <v>6.35</v>
      </c>
      <c r="C15" s="53">
        <v>0.83</v>
      </c>
      <c r="D15" s="53">
        <v>3.7</v>
      </c>
      <c r="E15" s="53">
        <v>3.1</v>
      </c>
    </row>
    <row r="16" spans="1:5">
      <c r="A16" s="71">
        <v>120</v>
      </c>
      <c r="B16" s="53">
        <v>6.7</v>
      </c>
      <c r="C16" s="53">
        <v>0.64</v>
      </c>
      <c r="D16" s="53">
        <v>3.7</v>
      </c>
      <c r="E16" s="53">
        <v>3.1</v>
      </c>
    </row>
    <row r="17" spans="1:21">
      <c r="A17" s="72" t="s">
        <v>62</v>
      </c>
      <c r="B17" s="68" t="s">
        <v>62</v>
      </c>
      <c r="U17" s="53"/>
    </row>
    <row r="19" spans="1:21">
      <c r="A19" s="65" t="s">
        <v>104</v>
      </c>
    </row>
    <row r="20" spans="1:21">
      <c r="A20" s="68" t="s">
        <v>131</v>
      </c>
      <c r="B20" s="69"/>
    </row>
    <row r="21" spans="1:21">
      <c r="B21" s="69" t="s">
        <v>17</v>
      </c>
    </row>
    <row r="22" spans="1:21">
      <c r="A22" s="65" t="s">
        <v>45</v>
      </c>
      <c r="B22" s="69" t="s">
        <v>46</v>
      </c>
      <c r="C22" s="65" t="s">
        <v>82</v>
      </c>
    </row>
    <row r="23" spans="1:21">
      <c r="A23" s="53" t="s">
        <v>121</v>
      </c>
      <c r="B23" s="70" t="s">
        <v>122</v>
      </c>
      <c r="C23" s="53" t="s">
        <v>133</v>
      </c>
    </row>
    <row r="24" spans="1:21">
      <c r="A24" s="65" t="s">
        <v>78</v>
      </c>
      <c r="B24" s="69" t="s">
        <v>47</v>
      </c>
      <c r="C24" s="53"/>
    </row>
    <row r="25" spans="1:21">
      <c r="A25" s="71" t="s">
        <v>128</v>
      </c>
      <c r="B25" s="68" t="s">
        <v>132</v>
      </c>
    </row>
    <row r="26" spans="1:21">
      <c r="A26" s="71" t="s">
        <v>128</v>
      </c>
      <c r="B26" s="68" t="s">
        <v>132</v>
      </c>
    </row>
    <row r="27" spans="1:21">
      <c r="A27" s="71" t="s">
        <v>128</v>
      </c>
      <c r="B27" s="68" t="s">
        <v>132</v>
      </c>
    </row>
    <row r="28" spans="1:21">
      <c r="A28" s="71" t="s">
        <v>128</v>
      </c>
      <c r="B28" s="68" t="s">
        <v>132</v>
      </c>
    </row>
    <row r="29" spans="1:21">
      <c r="A29" s="71" t="s">
        <v>128</v>
      </c>
      <c r="B29" s="68" t="s">
        <v>132</v>
      </c>
    </row>
    <row r="30" spans="1:21">
      <c r="A30" s="71" t="s">
        <v>128</v>
      </c>
      <c r="B30" s="68" t="s">
        <v>132</v>
      </c>
    </row>
    <row r="31" spans="1:21">
      <c r="A31" s="71" t="s">
        <v>128</v>
      </c>
      <c r="B31" s="68" t="s">
        <v>132</v>
      </c>
    </row>
    <row r="32" spans="1:21">
      <c r="A32" s="71" t="s">
        <v>128</v>
      </c>
      <c r="B32" s="68" t="s">
        <v>132</v>
      </c>
    </row>
    <row r="33" spans="1:2">
      <c r="A33" s="71" t="s">
        <v>128</v>
      </c>
      <c r="B33" s="68" t="s">
        <v>132</v>
      </c>
    </row>
    <row r="34" spans="1:2">
      <c r="A34" s="71" t="s">
        <v>128</v>
      </c>
      <c r="B34" s="68" t="s">
        <v>132</v>
      </c>
    </row>
  </sheetData>
  <printOptions gridLines="1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E774-CAB9-43CB-A0FB-4359BB43E600}">
  <dimension ref="A1:E34"/>
  <sheetViews>
    <sheetView workbookViewId="0">
      <selection activeCell="E10" sqref="E10"/>
    </sheetView>
  </sheetViews>
  <sheetFormatPr defaultRowHeight="14.4"/>
  <cols>
    <col min="1" max="1" width="29.1015625" customWidth="1"/>
    <col min="2" max="2" width="14.1015625" customWidth="1"/>
    <col min="3" max="3" width="10.89453125" customWidth="1"/>
  </cols>
  <sheetData>
    <row r="1" spans="1:5" s="12" customFormat="1" ht="16.8">
      <c r="B1" s="14"/>
    </row>
    <row r="2" spans="1:5" s="12" customFormat="1" ht="16.8">
      <c r="B2" s="14"/>
    </row>
    <row r="3" spans="1:5" ht="15.6">
      <c r="A3" s="105" t="s">
        <v>49</v>
      </c>
      <c r="B3" s="105"/>
      <c r="C3" s="105"/>
    </row>
    <row r="4" spans="1:5" ht="15.6">
      <c r="A4" s="10" t="s">
        <v>162</v>
      </c>
      <c r="B4" s="59"/>
      <c r="C4" s="59"/>
    </row>
    <row r="5" spans="1:5" ht="15.6">
      <c r="A5" s="10" t="s">
        <v>27</v>
      </c>
      <c r="B5" s="59"/>
      <c r="C5" s="59"/>
    </row>
    <row r="6" spans="1:5" s="6" customFormat="1" ht="15.6">
      <c r="A6" s="11" t="s">
        <v>54</v>
      </c>
      <c r="B6" s="11" t="s">
        <v>46</v>
      </c>
      <c r="C6" s="59"/>
      <c r="D6" s="13"/>
    </row>
    <row r="7" spans="1:5" s="1" customFormat="1" ht="18.75" customHeight="1">
      <c r="A7" s="9" t="s">
        <v>50</v>
      </c>
      <c r="B7" s="8">
        <v>45221</v>
      </c>
      <c r="C7" s="59"/>
    </row>
    <row r="8" spans="1:5" ht="15.6">
      <c r="A8" s="11" t="s">
        <v>166</v>
      </c>
      <c r="B8" s="11" t="s">
        <v>55</v>
      </c>
      <c r="C8" s="11" t="s">
        <v>165</v>
      </c>
      <c r="D8" s="1"/>
      <c r="E8" s="1"/>
    </row>
    <row r="9" spans="1:5">
      <c r="A9" s="19">
        <v>1</v>
      </c>
      <c r="B9" s="9">
        <v>3.5</v>
      </c>
      <c r="C9">
        <v>0.59</v>
      </c>
    </row>
    <row r="10" spans="1:5">
      <c r="A10" s="19">
        <v>3</v>
      </c>
      <c r="B10" s="9">
        <v>4.2300000000000004</v>
      </c>
      <c r="C10">
        <v>0.43</v>
      </c>
    </row>
    <row r="11" spans="1:5">
      <c r="A11" s="19">
        <v>6</v>
      </c>
      <c r="B11" s="9">
        <v>4.84</v>
      </c>
      <c r="C11">
        <v>0.47</v>
      </c>
    </row>
    <row r="12" spans="1:5">
      <c r="A12" s="20">
        <v>12</v>
      </c>
      <c r="B12" s="9">
        <v>4.5999999999999996</v>
      </c>
      <c r="C12">
        <v>0.51</v>
      </c>
    </row>
    <row r="13" spans="1:5">
      <c r="A13" s="19">
        <v>18.100000000000001</v>
      </c>
      <c r="B13" s="9">
        <v>4.95</v>
      </c>
      <c r="C13">
        <v>1.22</v>
      </c>
    </row>
    <row r="14" spans="1:5">
      <c r="A14" s="19">
        <v>24</v>
      </c>
      <c r="B14" s="9">
        <v>5.3</v>
      </c>
      <c r="C14">
        <v>1.45</v>
      </c>
    </row>
    <row r="15" spans="1:5">
      <c r="A15" s="20">
        <v>36</v>
      </c>
      <c r="B15" s="9">
        <v>5.65</v>
      </c>
      <c r="C15">
        <v>1.01</v>
      </c>
    </row>
    <row r="16" spans="1:5">
      <c r="A16" s="62">
        <v>60</v>
      </c>
      <c r="B16" s="63">
        <v>6</v>
      </c>
      <c r="C16">
        <v>0.75</v>
      </c>
    </row>
    <row r="17" spans="1:3">
      <c r="A17" s="19">
        <v>120</v>
      </c>
      <c r="B17" s="9">
        <v>6.35</v>
      </c>
      <c r="C17" s="5">
        <v>0.83</v>
      </c>
    </row>
    <row r="18" spans="1:3">
      <c r="A18" s="1"/>
      <c r="B18" s="1"/>
    </row>
    <row r="21" spans="1:3" ht="15.6">
      <c r="A21" s="59" t="s">
        <v>49</v>
      </c>
      <c r="B21" s="59"/>
    </row>
    <row r="22" spans="1:3" ht="15.6">
      <c r="A22" s="11" t="s">
        <v>54</v>
      </c>
      <c r="B22" s="11" t="s">
        <v>46</v>
      </c>
    </row>
    <row r="23" spans="1:3" ht="15.6">
      <c r="A23" s="9" t="s">
        <v>121</v>
      </c>
      <c r="B23" s="8" t="s">
        <v>122</v>
      </c>
      <c r="C23" s="59"/>
    </row>
    <row r="24" spans="1:3" ht="15.6">
      <c r="A24" s="11" t="s">
        <v>68</v>
      </c>
      <c r="B24" s="11" t="s">
        <v>55</v>
      </c>
      <c r="C24" s="11" t="s">
        <v>83</v>
      </c>
    </row>
    <row r="25" spans="1:3">
      <c r="A25" s="19" t="s">
        <v>128</v>
      </c>
      <c r="B25" s="9" t="s">
        <v>132</v>
      </c>
      <c r="C25" s="44" t="s">
        <v>133</v>
      </c>
    </row>
    <row r="26" spans="1:3">
      <c r="A26" s="19" t="s">
        <v>128</v>
      </c>
      <c r="B26" s="9" t="s">
        <v>132</v>
      </c>
      <c r="C26" s="1"/>
    </row>
    <row r="27" spans="1:3">
      <c r="A27" s="19" t="s">
        <v>128</v>
      </c>
      <c r="B27" s="9" t="s">
        <v>132</v>
      </c>
    </row>
    <row r="28" spans="1:3">
      <c r="A28" s="19" t="s">
        <v>128</v>
      </c>
      <c r="B28" s="9" t="s">
        <v>132</v>
      </c>
    </row>
    <row r="29" spans="1:3">
      <c r="A29" s="19" t="s">
        <v>128</v>
      </c>
      <c r="B29" s="9" t="s">
        <v>132</v>
      </c>
    </row>
    <row r="30" spans="1:3">
      <c r="A30" s="19" t="s">
        <v>128</v>
      </c>
      <c r="B30" s="9" t="s">
        <v>132</v>
      </c>
    </row>
    <row r="31" spans="1:3">
      <c r="A31" s="19" t="s">
        <v>128</v>
      </c>
      <c r="B31" s="9" t="s">
        <v>132</v>
      </c>
    </row>
    <row r="32" spans="1:3">
      <c r="A32" s="19" t="s">
        <v>128</v>
      </c>
      <c r="B32" s="9" t="s">
        <v>132</v>
      </c>
    </row>
    <row r="33" spans="1:2">
      <c r="A33" s="19" t="s">
        <v>128</v>
      </c>
      <c r="B33" s="9" t="s">
        <v>132</v>
      </c>
    </row>
    <row r="34" spans="1:2">
      <c r="A34" s="1"/>
      <c r="B34" s="9"/>
    </row>
  </sheetData>
  <mergeCells count="1">
    <mergeCell ref="A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C393-4A38-4A45-BBC0-8810FC785B70}">
  <dimension ref="A2:J18"/>
  <sheetViews>
    <sheetView workbookViewId="0">
      <selection sqref="A1:J10"/>
    </sheetView>
  </sheetViews>
  <sheetFormatPr defaultRowHeight="14.4"/>
  <cols>
    <col min="1" max="1" width="12.15625" customWidth="1"/>
    <col min="2" max="2" width="7.62890625" customWidth="1"/>
    <col min="3" max="3" width="8.05078125" customWidth="1"/>
    <col min="4" max="4" width="8.20703125" customWidth="1"/>
    <col min="5" max="5" width="9.734375" customWidth="1"/>
    <col min="6" max="6" width="9.5234375" customWidth="1"/>
    <col min="7" max="7" width="10.7890625" customWidth="1"/>
    <col min="8" max="8" width="8.83984375" customWidth="1"/>
    <col min="9" max="9" width="9.62890625" customWidth="1"/>
    <col min="10" max="10" width="7.47265625" customWidth="1"/>
  </cols>
  <sheetData>
    <row r="2" spans="1:10" s="14" customFormat="1" ht="16.8">
      <c r="A2" s="26" t="s">
        <v>104</v>
      </c>
      <c r="B2" s="26"/>
      <c r="C2" s="26" t="s">
        <v>5</v>
      </c>
      <c r="D2" s="26"/>
      <c r="E2" s="26"/>
      <c r="F2" s="26"/>
      <c r="G2" s="26"/>
      <c r="H2" s="26"/>
      <c r="I2" s="26"/>
      <c r="J2" s="26"/>
    </row>
    <row r="3" spans="1:10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s="3" customFormat="1">
      <c r="A4" s="21" t="s">
        <v>29</v>
      </c>
      <c r="B4" s="21" t="s">
        <v>134</v>
      </c>
      <c r="C4" s="21" t="s">
        <v>135</v>
      </c>
      <c r="D4" s="21" t="s">
        <v>136</v>
      </c>
      <c r="E4" s="21" t="s">
        <v>137</v>
      </c>
      <c r="F4" s="21" t="s">
        <v>138</v>
      </c>
      <c r="G4" s="21" t="s">
        <v>139</v>
      </c>
      <c r="H4" s="21" t="s">
        <v>140</v>
      </c>
      <c r="I4" s="21" t="s">
        <v>141</v>
      </c>
      <c r="J4" s="21" t="s">
        <v>142</v>
      </c>
    </row>
    <row r="5" spans="1:10">
      <c r="A5" s="57">
        <v>43723</v>
      </c>
      <c r="B5" s="22" t="s">
        <v>143</v>
      </c>
      <c r="C5" s="22">
        <v>0.47889999999999999</v>
      </c>
      <c r="D5" s="22">
        <v>7.9000000000000001E-2</v>
      </c>
      <c r="E5" s="66">
        <v>8400.0300000000007</v>
      </c>
      <c r="F5" s="66">
        <v>0</v>
      </c>
      <c r="G5" s="66">
        <v>0</v>
      </c>
      <c r="H5" s="66">
        <v>8400.0300000000007</v>
      </c>
      <c r="I5" s="66">
        <v>0</v>
      </c>
      <c r="J5" s="66">
        <v>0</v>
      </c>
    </row>
    <row r="6" spans="1:10">
      <c r="A6" s="57">
        <v>43814</v>
      </c>
      <c r="B6" s="22" t="s">
        <v>144</v>
      </c>
      <c r="C6" s="22">
        <v>1.4789000000000001</v>
      </c>
      <c r="D6" s="22">
        <v>1.079</v>
      </c>
      <c r="E6" s="66">
        <v>8400.0300000000007</v>
      </c>
      <c r="F6" s="66">
        <v>0</v>
      </c>
      <c r="G6" s="66">
        <v>0</v>
      </c>
      <c r="H6" s="66">
        <v>8400.0300000000007</v>
      </c>
      <c r="I6" s="66">
        <v>0</v>
      </c>
      <c r="J6" s="66">
        <v>0</v>
      </c>
    </row>
    <row r="7" spans="1:10">
      <c r="A7" s="57">
        <v>43905</v>
      </c>
      <c r="B7" s="22" t="s">
        <v>145</v>
      </c>
      <c r="C7" s="22">
        <v>2.4788999999999999</v>
      </c>
      <c r="D7" s="22">
        <v>2.0790000000000002</v>
      </c>
      <c r="E7" s="66">
        <v>8400.0300000000007</v>
      </c>
      <c r="F7" s="66">
        <v>0</v>
      </c>
      <c r="G7" s="66">
        <v>0</v>
      </c>
      <c r="H7" s="66">
        <v>8400.0300000000007</v>
      </c>
      <c r="I7" s="66">
        <v>0</v>
      </c>
      <c r="J7" s="66">
        <v>0</v>
      </c>
    </row>
    <row r="8" spans="1:10">
      <c r="A8" s="57">
        <v>43997</v>
      </c>
      <c r="B8" s="22" t="s">
        <v>146</v>
      </c>
      <c r="C8" s="22">
        <v>3.4788999999999999</v>
      </c>
      <c r="D8" s="22">
        <v>3.0790000000000002</v>
      </c>
      <c r="E8" s="66">
        <v>8400.0300000000007</v>
      </c>
      <c r="F8" s="66">
        <v>0</v>
      </c>
      <c r="G8" s="66">
        <v>0</v>
      </c>
      <c r="H8" s="66">
        <v>8400.0300000000007</v>
      </c>
      <c r="I8" s="66">
        <v>0</v>
      </c>
      <c r="J8" s="66">
        <v>0</v>
      </c>
    </row>
    <row r="9" spans="1:10">
      <c r="A9" s="57">
        <v>44089</v>
      </c>
      <c r="B9" s="22" t="s">
        <v>147</v>
      </c>
      <c r="C9" s="22">
        <v>4.4789000000000003</v>
      </c>
      <c r="D9" s="22">
        <v>4.0789999999999997</v>
      </c>
      <c r="E9" s="66">
        <v>108400.03</v>
      </c>
      <c r="F9" s="66">
        <v>100000</v>
      </c>
      <c r="G9" s="66">
        <v>100000</v>
      </c>
      <c r="H9" s="66">
        <v>8400.0300000000007</v>
      </c>
      <c r="I9" s="66">
        <v>0</v>
      </c>
      <c r="J9" s="66">
        <v>0</v>
      </c>
    </row>
    <row r="10" spans="1:10">
      <c r="A10" s="57" t="s">
        <v>177</v>
      </c>
      <c r="B10" s="22"/>
      <c r="C10" s="22" t="s">
        <v>178</v>
      </c>
      <c r="D10" s="22"/>
      <c r="E10" s="66">
        <v>154000.12</v>
      </c>
      <c r="F10" s="67">
        <v>100000</v>
      </c>
      <c r="G10" s="67">
        <v>100000</v>
      </c>
      <c r="H10" s="66">
        <v>56000.12</v>
      </c>
      <c r="I10" s="66">
        <v>0</v>
      </c>
      <c r="J10" s="66">
        <v>0</v>
      </c>
    </row>
    <row r="13" spans="1:10" s="3" customFormat="1">
      <c r="A13" s="3" t="s">
        <v>29</v>
      </c>
      <c r="B13" s="3" t="s">
        <v>134</v>
      </c>
      <c r="C13" s="3" t="s">
        <v>135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141</v>
      </c>
      <c r="J13" s="3" t="s">
        <v>142</v>
      </c>
    </row>
    <row r="14" spans="1:10">
      <c r="A14" s="17" t="s">
        <v>122</v>
      </c>
      <c r="B14" t="s">
        <v>121</v>
      </c>
      <c r="C14" t="s">
        <v>119</v>
      </c>
      <c r="D14" t="s">
        <v>119</v>
      </c>
      <c r="E14" t="s">
        <v>119</v>
      </c>
      <c r="F14" t="s">
        <v>119</v>
      </c>
      <c r="G14" t="s">
        <v>119</v>
      </c>
      <c r="H14" t="s">
        <v>119</v>
      </c>
      <c r="I14" t="s">
        <v>119</v>
      </c>
      <c r="J14" t="s">
        <v>119</v>
      </c>
    </row>
    <row r="15" spans="1:10">
      <c r="A15" s="17" t="s">
        <v>122</v>
      </c>
      <c r="B15" t="s">
        <v>121</v>
      </c>
      <c r="C15" t="s">
        <v>119</v>
      </c>
      <c r="D15" t="s">
        <v>119</v>
      </c>
      <c r="E15" t="s">
        <v>119</v>
      </c>
      <c r="F15" t="s">
        <v>119</v>
      </c>
      <c r="G15" t="s">
        <v>119</v>
      </c>
      <c r="H15" t="s">
        <v>119</v>
      </c>
      <c r="I15" t="s">
        <v>119</v>
      </c>
      <c r="J15" t="s">
        <v>119</v>
      </c>
    </row>
    <row r="16" spans="1:10">
      <c r="A16" s="17" t="s">
        <v>122</v>
      </c>
      <c r="B16" t="s">
        <v>121</v>
      </c>
      <c r="C16" t="s">
        <v>119</v>
      </c>
      <c r="D16" t="s">
        <v>119</v>
      </c>
      <c r="E16" t="s">
        <v>119</v>
      </c>
      <c r="F16" t="s">
        <v>119</v>
      </c>
      <c r="G16" t="s">
        <v>119</v>
      </c>
      <c r="H16" t="s">
        <v>119</v>
      </c>
      <c r="I16" t="s">
        <v>119</v>
      </c>
      <c r="J16" t="s">
        <v>119</v>
      </c>
    </row>
    <row r="17" spans="1:10">
      <c r="A17" s="17" t="s">
        <v>122</v>
      </c>
      <c r="B17" t="s">
        <v>121</v>
      </c>
      <c r="C17" t="s">
        <v>119</v>
      </c>
      <c r="D17" t="s">
        <v>119</v>
      </c>
      <c r="E17" t="s">
        <v>119</v>
      </c>
      <c r="F17" t="s">
        <v>119</v>
      </c>
      <c r="G17" t="s">
        <v>119</v>
      </c>
      <c r="H17" t="s">
        <v>119</v>
      </c>
      <c r="I17" t="s">
        <v>119</v>
      </c>
      <c r="J17" t="s">
        <v>119</v>
      </c>
    </row>
    <row r="18" spans="1:10">
      <c r="A18" s="17" t="s">
        <v>122</v>
      </c>
      <c r="B18" t="s">
        <v>121</v>
      </c>
      <c r="C18" t="s">
        <v>119</v>
      </c>
      <c r="D18" t="s">
        <v>119</v>
      </c>
      <c r="E18" t="s">
        <v>119</v>
      </c>
      <c r="F18" t="s">
        <v>119</v>
      </c>
      <c r="G18" t="s">
        <v>119</v>
      </c>
      <c r="H18" t="s">
        <v>119</v>
      </c>
      <c r="I18" t="s">
        <v>119</v>
      </c>
      <c r="J18" t="s">
        <v>119</v>
      </c>
    </row>
  </sheetData>
  <phoneticPr fontId="19" type="noConversion"/>
  <printOptions gridLines="1"/>
  <pageMargins left="0.7" right="0.7" top="0.75" bottom="0.75" header="0.3" footer="0.3"/>
  <pageSetup orientation="portrait" blackAndWhite="1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EBD6-E983-43C1-9FB1-52AA2AD8A168}">
  <dimension ref="A1:D40"/>
  <sheetViews>
    <sheetView workbookViewId="0">
      <selection sqref="A1:B19"/>
    </sheetView>
  </sheetViews>
  <sheetFormatPr defaultRowHeight="14.4"/>
  <cols>
    <col min="1" max="1" width="15.578125" customWidth="1"/>
    <col min="2" max="2" width="25.5234375" customWidth="1"/>
  </cols>
  <sheetData>
    <row r="1" spans="1:4" s="3" customFormat="1">
      <c r="A1" s="10" t="s">
        <v>104</v>
      </c>
      <c r="B1" s="10" t="s">
        <v>5</v>
      </c>
    </row>
    <row r="2" spans="1:4" s="14" customFormat="1" ht="16.8">
      <c r="A2" s="58"/>
      <c r="B2" s="58"/>
    </row>
    <row r="3" spans="1:4" s="7" customFormat="1" ht="15.6">
      <c r="A3" s="102" t="s">
        <v>57</v>
      </c>
      <c r="B3" s="106"/>
    </row>
    <row r="4" spans="1:4" s="7" customFormat="1" ht="15.6">
      <c r="A4" s="11" t="s">
        <v>31</v>
      </c>
      <c r="B4" s="11" t="s">
        <v>32</v>
      </c>
    </row>
    <row r="5" spans="1:4">
      <c r="A5" s="1" t="s">
        <v>58</v>
      </c>
      <c r="B5" s="1">
        <v>0.05</v>
      </c>
    </row>
    <row r="6" spans="1:4">
      <c r="A6" s="1" t="s">
        <v>59</v>
      </c>
      <c r="B6" s="1">
        <v>0.23</v>
      </c>
    </row>
    <row r="7" spans="1:4">
      <c r="A7" s="1" t="s">
        <v>60</v>
      </c>
      <c r="B7" s="1">
        <v>0.4</v>
      </c>
      <c r="D7" s="15"/>
    </row>
    <row r="8" spans="1:4">
      <c r="A8" s="1" t="s">
        <v>33</v>
      </c>
      <c r="B8" s="1">
        <v>1.4</v>
      </c>
      <c r="D8" s="16"/>
    </row>
    <row r="9" spans="1:4">
      <c r="A9" s="1" t="s">
        <v>34</v>
      </c>
      <c r="B9" s="1">
        <v>1.2</v>
      </c>
      <c r="D9" s="16"/>
    </row>
    <row r="10" spans="1:4">
      <c r="A10" s="1" t="s">
        <v>35</v>
      </c>
      <c r="B10" s="1">
        <v>1.8</v>
      </c>
    </row>
    <row r="11" spans="1:4">
      <c r="A11" s="1" t="s">
        <v>36</v>
      </c>
      <c r="B11" s="1">
        <v>0.9</v>
      </c>
    </row>
    <row r="12" spans="1:4">
      <c r="A12" s="1" t="s">
        <v>37</v>
      </c>
      <c r="B12" s="1">
        <v>1</v>
      </c>
    </row>
    <row r="13" spans="1:4">
      <c r="A13" s="1" t="s">
        <v>38</v>
      </c>
      <c r="B13" s="1">
        <v>0</v>
      </c>
    </row>
    <row r="14" spans="1:4">
      <c r="A14" s="1" t="s">
        <v>39</v>
      </c>
      <c r="B14" s="1">
        <v>0</v>
      </c>
    </row>
    <row r="15" spans="1:4">
      <c r="A15" s="1" t="s">
        <v>40</v>
      </c>
      <c r="B15" s="1">
        <v>0</v>
      </c>
    </row>
    <row r="16" spans="1:4">
      <c r="A16" s="1" t="s">
        <v>41</v>
      </c>
      <c r="B16" s="1">
        <v>0</v>
      </c>
    </row>
    <row r="17" spans="1:4">
      <c r="A17" s="1" t="s">
        <v>42</v>
      </c>
      <c r="B17" s="1">
        <v>0</v>
      </c>
    </row>
    <row r="18" spans="1:4">
      <c r="A18" s="1" t="s">
        <v>43</v>
      </c>
      <c r="B18" s="1">
        <v>0</v>
      </c>
    </row>
    <row r="19" spans="1:4">
      <c r="A19" s="1" t="s">
        <v>44</v>
      </c>
      <c r="B19" s="1">
        <v>0</v>
      </c>
    </row>
    <row r="20" spans="1:4">
      <c r="A20" s="1"/>
      <c r="B20" s="1"/>
    </row>
    <row r="22" spans="1:4" ht="16.8">
      <c r="A22" s="14" t="s">
        <v>104</v>
      </c>
      <c r="B22" s="14" t="s">
        <v>129</v>
      </c>
      <c r="C22" s="14"/>
      <c r="D22" s="14"/>
    </row>
    <row r="23" spans="1:4" ht="16.8">
      <c r="A23" s="14"/>
      <c r="B23" s="14"/>
      <c r="C23" s="14"/>
      <c r="D23" s="14"/>
    </row>
    <row r="24" spans="1:4" ht="15.6">
      <c r="A24" s="7"/>
      <c r="B24" s="6" t="s">
        <v>57</v>
      </c>
      <c r="C24" s="7"/>
      <c r="D24" s="7"/>
    </row>
    <row r="25" spans="1:4" ht="15.6">
      <c r="A25" s="6" t="s">
        <v>31</v>
      </c>
      <c r="B25" s="6" t="s">
        <v>32</v>
      </c>
      <c r="C25" s="7"/>
      <c r="D25" s="7"/>
    </row>
    <row r="26" spans="1:4">
      <c r="A26" t="s">
        <v>121</v>
      </c>
      <c r="B26" t="s">
        <v>119</v>
      </c>
    </row>
    <row r="27" spans="1:4">
      <c r="A27" t="s">
        <v>121</v>
      </c>
      <c r="B27" t="s">
        <v>119</v>
      </c>
    </row>
    <row r="28" spans="1:4">
      <c r="A28" t="s">
        <v>121</v>
      </c>
      <c r="B28" t="s">
        <v>119</v>
      </c>
      <c r="D28" s="15"/>
    </row>
    <row r="29" spans="1:4">
      <c r="A29" t="s">
        <v>121</v>
      </c>
      <c r="B29" t="s">
        <v>119</v>
      </c>
      <c r="D29" s="16"/>
    </row>
    <row r="30" spans="1:4">
      <c r="A30" t="s">
        <v>121</v>
      </c>
      <c r="B30" t="s">
        <v>119</v>
      </c>
      <c r="D30" s="16"/>
    </row>
    <row r="31" spans="1:4">
      <c r="A31" t="s">
        <v>121</v>
      </c>
      <c r="B31" t="s">
        <v>119</v>
      </c>
    </row>
    <row r="32" spans="1:4">
      <c r="A32" t="s">
        <v>121</v>
      </c>
      <c r="B32" t="s">
        <v>119</v>
      </c>
    </row>
    <row r="33" spans="1:2">
      <c r="A33" t="s">
        <v>121</v>
      </c>
      <c r="B33" t="s">
        <v>119</v>
      </c>
    </row>
    <row r="34" spans="1:2">
      <c r="A34" t="s">
        <v>121</v>
      </c>
      <c r="B34" t="s">
        <v>119</v>
      </c>
    </row>
    <row r="35" spans="1:2">
      <c r="A35" t="s">
        <v>121</v>
      </c>
      <c r="B35" t="s">
        <v>119</v>
      </c>
    </row>
    <row r="36" spans="1:2">
      <c r="A36" t="s">
        <v>121</v>
      </c>
      <c r="B36" t="s">
        <v>119</v>
      </c>
    </row>
    <row r="37" spans="1:2">
      <c r="A37" t="s">
        <v>121</v>
      </c>
      <c r="B37" t="s">
        <v>119</v>
      </c>
    </row>
    <row r="38" spans="1:2">
      <c r="A38" t="s">
        <v>121</v>
      </c>
      <c r="B38" t="s">
        <v>119</v>
      </c>
    </row>
    <row r="39" spans="1:2">
      <c r="A39" t="s">
        <v>121</v>
      </c>
      <c r="B39" t="s">
        <v>119</v>
      </c>
    </row>
    <row r="40" spans="1:2">
      <c r="A40" t="s">
        <v>121</v>
      </c>
      <c r="B40" t="s">
        <v>119</v>
      </c>
    </row>
  </sheetData>
  <mergeCells count="1">
    <mergeCell ref="A3:B3"/>
  </mergeCells>
  <printOptions gridLines="1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Trade</vt:lpstr>
      <vt:lpstr>CalcOptions</vt:lpstr>
      <vt:lpstr>Security Search</vt:lpstr>
      <vt:lpstr>Yield Curve Search</vt:lpstr>
      <vt:lpstr>Floater</vt:lpstr>
      <vt:lpstr>Mortgage</vt:lpstr>
      <vt:lpstr>Indexed</vt:lpstr>
      <vt:lpstr>Calls</vt:lpstr>
      <vt:lpstr>Puts</vt:lpstr>
      <vt:lpstr>floatingReset</vt:lpstr>
      <vt:lpstr>Sinks</vt:lpstr>
      <vt:lpstr>Discount Curve</vt:lpstr>
      <vt:lpstr>Fixing Curve</vt:lpstr>
      <vt:lpstr>Cashflow</vt:lpstr>
      <vt:lpstr>Key Rate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Roitfarb</dc:creator>
  <cp:lastModifiedBy>Albert Roitfarb</cp:lastModifiedBy>
  <cp:lastPrinted>2024-08-21T15:12:24Z</cp:lastPrinted>
  <dcterms:created xsi:type="dcterms:W3CDTF">2022-08-31T01:00:05Z</dcterms:created>
  <dcterms:modified xsi:type="dcterms:W3CDTF">2024-09-11T11:57:26Z</dcterms:modified>
</cp:coreProperties>
</file>